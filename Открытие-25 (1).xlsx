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Paintball\Открытие-25\"/>
    </mc:Choice>
  </mc:AlternateContent>
  <xr:revisionPtr revIDLastSave="0" documentId="8_{990E8D29-9B03-4385-98B3-2E93E8ED464E}" xr6:coauthVersionLast="47" xr6:coauthVersionMax="47" xr10:uidLastSave="{00000000-0000-0000-0000-000000000000}"/>
  <bookViews>
    <workbookView xWindow="-120" yWindow="-120" windowWidth="29040" windowHeight="15840" xr2:uid="{A7CAB105-308D-4593-BEC7-D929DFC18890}"/>
  </bookViews>
  <sheets>
    <sheet name="ПМ-25" sheetId="1" r:id="rId1"/>
    <sheet name="Лист1" sheetId="2" r:id="rId2"/>
  </sheets>
  <definedNames>
    <definedName name="_xlnm._FilterDatabase" localSheetId="0" hidden="1">'ПМ-25'!$A$4:$V$142</definedName>
    <definedName name="_xlnm.Print_Area" localSheetId="0">'ПМ-25'!$A$1:$L$140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O128" i="1"/>
  <c r="O129" i="1"/>
  <c r="O130" i="1"/>
  <c r="O131" i="1"/>
  <c r="O132" i="1"/>
  <c r="O133" i="1"/>
  <c r="O134" i="1"/>
  <c r="O135" i="1"/>
  <c r="O136" i="1"/>
  <c r="O137" i="1"/>
  <c r="O138" i="1"/>
  <c r="O139" i="1"/>
  <c r="F162" i="1" l="1"/>
  <c r="J140" i="1" l="1"/>
  <c r="F141" i="1"/>
  <c r="M140" i="1"/>
  <c r="L85" i="1" l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L39" i="1" l="1"/>
  <c r="K140" i="1"/>
  <c r="K141" i="1" s="1"/>
  <c r="J141" i="1"/>
  <c r="I140" i="1"/>
  <c r="I141" i="1" s="1"/>
  <c r="H140" i="1"/>
  <c r="G140" i="1"/>
  <c r="G141" i="1" s="1"/>
  <c r="F140" i="1"/>
  <c r="O105" i="1"/>
  <c r="O106" i="1"/>
  <c r="O107" i="1"/>
  <c r="O108" i="1"/>
  <c r="O109" i="1"/>
  <c r="F166" i="1" l="1"/>
  <c r="L90" i="1"/>
  <c r="L140" i="1" s="1"/>
  <c r="O80" i="1"/>
  <c r="O81" i="1"/>
  <c r="O82" i="1"/>
  <c r="O83" i="1"/>
  <c r="O84" i="1"/>
  <c r="O85" i="1"/>
  <c r="O86" i="1"/>
  <c r="O87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C166" i="1"/>
  <c r="O77" i="1"/>
  <c r="O140" i="1" l="1"/>
  <c r="L141" i="1"/>
  <c r="O71" i="1"/>
  <c r="O72" i="1"/>
  <c r="O73" i="1"/>
  <c r="O74" i="1"/>
  <c r="O75" i="1"/>
  <c r="O76" i="1"/>
  <c r="O78" i="1"/>
  <c r="O79" i="1"/>
  <c r="O70" i="1" l="1"/>
  <c r="O69" i="1"/>
  <c r="O68" i="1"/>
  <c r="O67" i="1"/>
  <c r="O66" i="1"/>
  <c r="O65" i="1"/>
  <c r="O53" i="1"/>
  <c r="O60" i="1"/>
  <c r="O59" i="1"/>
  <c r="O54" i="1"/>
  <c r="O55" i="1"/>
  <c r="O56" i="1"/>
  <c r="O57" i="1"/>
  <c r="O58" i="1"/>
  <c r="O61" i="1"/>
  <c r="O62" i="1"/>
  <c r="O63" i="1"/>
  <c r="O64" i="1"/>
  <c r="O9" i="1" l="1"/>
  <c r="O6" i="1"/>
  <c r="O7" i="1"/>
  <c r="O8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" i="1"/>
</calcChain>
</file>

<file path=xl/sharedStrings.xml><?xml version="1.0" encoding="utf-8"?>
<sst xmlns="http://schemas.openxmlformats.org/spreadsheetml/2006/main" count="502" uniqueCount="328">
  <si>
    <t>ФИО</t>
  </si>
  <si>
    <t>Заявка</t>
  </si>
  <si>
    <t>№</t>
  </si>
  <si>
    <t>Фатьянов Игорь</t>
  </si>
  <si>
    <t>ИТОГО</t>
  </si>
  <si>
    <t>Никулин Павел</t>
  </si>
  <si>
    <t>VIP ЭК</t>
  </si>
  <si>
    <t>VIP МК</t>
  </si>
  <si>
    <t>Неизвестные деньги</t>
  </si>
  <si>
    <t>Текущий баланс</t>
  </si>
  <si>
    <t>L</t>
  </si>
  <si>
    <t>XL</t>
  </si>
  <si>
    <t>XXL</t>
  </si>
  <si>
    <t>XXXL</t>
  </si>
  <si>
    <t>Соболев Дима</t>
  </si>
  <si>
    <t>Взнос за шары</t>
  </si>
  <si>
    <t>Холькин Фёдор Алексеевич</t>
  </si>
  <si>
    <t>Сатин Андрей Игоревич</t>
  </si>
  <si>
    <t>Харебин Дмитрий Витальевич</t>
  </si>
  <si>
    <t>Якимишен Филипп Кириллович</t>
  </si>
  <si>
    <t xml:space="preserve">Якимишен Кирилл Григорьевич </t>
  </si>
  <si>
    <t>Юров Григорий Павлович</t>
  </si>
  <si>
    <t>Королев Никита Андреевич</t>
  </si>
  <si>
    <t>Сафонов Кирилл Михайлович</t>
  </si>
  <si>
    <t>Ходаков Александр Сергеевич</t>
  </si>
  <si>
    <t>Дроевский Дмитрий Олегович</t>
  </si>
  <si>
    <t>Ермолаев Алексей Сергеевич</t>
  </si>
  <si>
    <t>Никулин Павел Александрович</t>
  </si>
  <si>
    <t>Табаков Дмитрий Петрович</t>
  </si>
  <si>
    <t>Федоров Андрей Дмитриевич</t>
  </si>
  <si>
    <t>Фролов Николай Николаевич</t>
  </si>
  <si>
    <t>Шивалин Сергей Игоревич</t>
  </si>
  <si>
    <t>Рогов Кирилл Константинович</t>
  </si>
  <si>
    <t>Полукаров Вадим Дмитриевич</t>
  </si>
  <si>
    <t xml:space="preserve">Коршунов Максим Александрович </t>
  </si>
  <si>
    <t>Коршунов Илья Максимович</t>
  </si>
  <si>
    <t>Васильчиков Николай Александрович</t>
  </si>
  <si>
    <t>Васильчикова Надежда Владимировна</t>
  </si>
  <si>
    <t>Васильчиков Георгий Александрович</t>
  </si>
  <si>
    <t>Васильчиков Андрей Александрович</t>
  </si>
  <si>
    <t>Перегудов Сергей Александрович</t>
  </si>
  <si>
    <t>Ларионов Руслан Александрович</t>
  </si>
  <si>
    <t>Петров Михаил Сергеевич</t>
  </si>
  <si>
    <t>Левина Юлия Сергеевна</t>
  </si>
  <si>
    <t>Фокин Данила Николаевич</t>
  </si>
  <si>
    <t>Фокина Анна Николаевна</t>
  </si>
  <si>
    <t>Колесников Иван Алексеевич</t>
  </si>
  <si>
    <t>Аристов Александр Дмитриевич</t>
  </si>
  <si>
    <t>Гусарова Елена Юрьевна</t>
  </si>
  <si>
    <t>Сёмин Иван Александрович</t>
  </si>
  <si>
    <t>Карасев Павел Аркадьевич</t>
  </si>
  <si>
    <t>Карасева Полина Павловна, 07.10.2009</t>
  </si>
  <si>
    <t>Хазов Илья Николаевич</t>
  </si>
  <si>
    <t>Хазова Полина Вадимовна</t>
  </si>
  <si>
    <t xml:space="preserve">Голубин Александр Сергеевич </t>
  </si>
  <si>
    <t>Чуйков Александр Сергеевич</t>
  </si>
  <si>
    <t>Яхонтов Николай Николаевич 19.11.2010</t>
  </si>
  <si>
    <t>Пасютина Наталья Владимировна</t>
  </si>
  <si>
    <t xml:space="preserve">Хушкин Александр Евгеньевич </t>
  </si>
  <si>
    <t>Гладун Ярослав Ярославович</t>
  </si>
  <si>
    <t>Сенцов Игорь Вячеславович</t>
  </si>
  <si>
    <t>Фирсов Артем Андреевич</t>
  </si>
  <si>
    <t>Фокин Евгений Петрович</t>
  </si>
  <si>
    <t>Колесников Алексей Максимович</t>
  </si>
  <si>
    <t>Деркач Евгений Александрович</t>
  </si>
  <si>
    <t>Доминов Андрей Тагирович</t>
  </si>
  <si>
    <t xml:space="preserve"> 04.08.1984</t>
  </si>
  <si>
    <t>Доминова Елена Николаевна</t>
  </si>
  <si>
    <t>Доминова Юлия Андреевна 19.12.2009</t>
  </si>
  <si>
    <t>Доминова Дарья Андреевна 27.07.2012</t>
  </si>
  <si>
    <t>Д.Р.</t>
  </si>
  <si>
    <t>Щербаченко Антон Сергеевич</t>
  </si>
  <si>
    <t>Попенко Екатерина Александровна</t>
  </si>
  <si>
    <t>Кругляков Павел Васильевич</t>
  </si>
  <si>
    <t>ПРОКАТ</t>
  </si>
  <si>
    <t>Рынкевич Дмитрий Станиславович</t>
  </si>
  <si>
    <t>Федоренко Кира Владиславовна</t>
  </si>
  <si>
    <t>Дуванов Дмитрий Николаевич</t>
  </si>
  <si>
    <t>Дуванова Анастасия Николаевна</t>
  </si>
  <si>
    <t>Черный Николай Викторович</t>
  </si>
  <si>
    <t>Якубовская Варвара Дмитриевна, 07.04.2012</t>
  </si>
  <si>
    <t>Малкович Вера Николаевна</t>
  </si>
  <si>
    <t xml:space="preserve">Насхидов Михаил Викторович </t>
  </si>
  <si>
    <t>Дуванова Виктория Дмитриевна</t>
  </si>
  <si>
    <t>Дуванов Александр Дмитриевич</t>
  </si>
  <si>
    <t>Сафонова Василиса Кирилловна</t>
  </si>
  <si>
    <t>Ходаков Максим Александрович</t>
  </si>
  <si>
    <t xml:space="preserve">Колесников Андрей Иванович </t>
  </si>
  <si>
    <t>Фирсов Денис Артёмович</t>
  </si>
  <si>
    <t>Черная Варвара Николаевна</t>
  </si>
  <si>
    <t>Ломакин Максим Михайлович</t>
  </si>
  <si>
    <t>Ломакин Матвей Максимович</t>
  </si>
  <si>
    <t xml:space="preserve">Табаков Иван Дмитриевич </t>
  </si>
  <si>
    <t>Хазов Артемий Ильич</t>
  </si>
  <si>
    <t xml:space="preserve">Хазов Тимофей Ильич </t>
  </si>
  <si>
    <t>Селицкий Евгений Станиславович</t>
  </si>
  <si>
    <t>Ломакин Максим Максимович</t>
  </si>
  <si>
    <t>Ломакина Алёна Максимовна</t>
  </si>
  <si>
    <t>Макаров Антон Александрович</t>
  </si>
  <si>
    <t>Макаров Илья Антонович</t>
  </si>
  <si>
    <t>Выстер</t>
  </si>
  <si>
    <t>уточнить</t>
  </si>
  <si>
    <t>Ларионова Полина Руслановна</t>
  </si>
  <si>
    <t>Вяткин Артём Владимирович</t>
  </si>
  <si>
    <t>Макаренко Оксана Алексеевна</t>
  </si>
  <si>
    <t>ПУШЕЧНОЕ МЯСО - ЗАЯВКИ &amp; ПРОКАТ</t>
  </si>
  <si>
    <t>Чуйков Егор Александрович</t>
  </si>
  <si>
    <t>Харламов Кирилл Евгеньевич</t>
  </si>
  <si>
    <t>Харламов Евгений Сергеевич</t>
  </si>
  <si>
    <t>Колесников Кирилл Алексеевич</t>
  </si>
  <si>
    <t>Карасев Михаил Павлович</t>
  </si>
  <si>
    <t>Ефимов Артём Сергеевич</t>
  </si>
  <si>
    <t>Ефимов Максим Сергеевич</t>
  </si>
  <si>
    <t>Шабрин Алексей Николаевич</t>
  </si>
  <si>
    <t>Калмыков Никита Михайлович</t>
  </si>
  <si>
    <t>Голубин Максим Александрович</t>
  </si>
  <si>
    <t>Перегудов Михаил Сергеевич</t>
  </si>
  <si>
    <t>Петрова Валерия Михайловна</t>
  </si>
  <si>
    <t>баллон</t>
  </si>
  <si>
    <t>Рынкевич Никита Дмитриевич</t>
  </si>
  <si>
    <t>Степанов Алексей Игоревич</t>
  </si>
  <si>
    <t>Дедов Евгений Геннадьевич</t>
  </si>
  <si>
    <t>🔫 Колесников А.</t>
  </si>
  <si>
    <t>🔫 Ходаков А.</t>
  </si>
  <si>
    <t>🔫Фирсов А.</t>
  </si>
  <si>
    <t>🔫Фирсов Д.</t>
  </si>
  <si>
    <t>🔫Макаров А</t>
  </si>
  <si>
    <t>🔫Макаров И</t>
  </si>
  <si>
    <t>🔫Ефимов А</t>
  </si>
  <si>
    <t>🔫Ефимов М</t>
  </si>
  <si>
    <t>🔫Ломакин М</t>
  </si>
  <si>
    <t xml:space="preserve">🔫Ломакин М </t>
  </si>
  <si>
    <t>🔫Ломакин А</t>
  </si>
  <si>
    <t>🔫Перегудов М</t>
  </si>
  <si>
    <t>🔫Петрова В</t>
  </si>
  <si>
    <t>Возраст участника на</t>
  </si>
  <si>
    <t>🔫 Чуйков А.</t>
  </si>
  <si>
    <t>🔫 Хазов Т.</t>
  </si>
  <si>
    <t>Фатьянов Александр Игоревич</t>
  </si>
  <si>
    <t>Фатьянов Игорь Сергеевич</t>
  </si>
  <si>
    <t>🔫 Фокин Е.</t>
  </si>
  <si>
    <t>Мушкетон</t>
  </si>
  <si>
    <t>Титов Ярослав Алексеевич</t>
  </si>
  <si>
    <t>Федотов Иван Дмитриевич</t>
  </si>
  <si>
    <t>Кованина Алеся Дмитриевна</t>
  </si>
  <si>
    <t>Сиваков Семён Александрович</t>
  </si>
  <si>
    <t>🔫 Черный Н.</t>
  </si>
  <si>
    <t>🔫 Черная В.</t>
  </si>
  <si>
    <t>🔫 Черный Н. +1</t>
  </si>
  <si>
    <t>🔫 Карасёв П.</t>
  </si>
  <si>
    <t>🔫 Якимишен Ф.</t>
  </si>
  <si>
    <t>Захаров Кирилл Юрьевич</t>
  </si>
  <si>
    <t>Захарова Анастасия Павловна</t>
  </si>
  <si>
    <t>🔫 Табаков Д.</t>
  </si>
  <si>
    <t>🔫 Калмыков Н.</t>
  </si>
  <si>
    <t>🔫 Табаков И.</t>
  </si>
  <si>
    <t>🔫 Деркач Е.</t>
  </si>
  <si>
    <t>Прокат первых 30 ВИП-комплектов</t>
  </si>
  <si>
    <t>Переводы и расходы</t>
  </si>
  <si>
    <t>Сумма</t>
  </si>
  <si>
    <t>Дата</t>
  </si>
  <si>
    <t>Отв.</t>
  </si>
  <si>
    <t>Аристов</t>
  </si>
  <si>
    <t>Потратили/перевели</t>
  </si>
  <si>
    <t>ВИП-Прокат очередность</t>
  </si>
  <si>
    <t>Обычный прокат</t>
  </si>
  <si>
    <t>🏹 Гладун Я.</t>
  </si>
  <si>
    <t>🏹 Вяткин А.</t>
  </si>
  <si>
    <t>🔫 Захарова А.</t>
  </si>
  <si>
    <t>🔫 Петрова А.</t>
  </si>
  <si>
    <t>🔫 Голубин А.</t>
  </si>
  <si>
    <t>🔫 Голубин М.</t>
  </si>
  <si>
    <t>🔫 Васильчиков А.</t>
  </si>
  <si>
    <t>🔫 Васильчиков Г.</t>
  </si>
  <si>
    <t>🔫 Васильчиков Н.</t>
  </si>
  <si>
    <t>🔫 Шнит А.</t>
  </si>
  <si>
    <t xml:space="preserve">Петрова Анна Михайловна </t>
  </si>
  <si>
    <t>🔫 Васильчикова Н.</t>
  </si>
  <si>
    <t>🔫 Рынкевич Д.</t>
  </si>
  <si>
    <t>🔫 Рынкевич Н.</t>
  </si>
  <si>
    <t>🔫 Титов Я.</t>
  </si>
  <si>
    <t>🔫 Федотов Я.</t>
  </si>
  <si>
    <t>🔫 Кованина А.</t>
  </si>
  <si>
    <t>Шнит Андрей Вадимович</t>
  </si>
  <si>
    <t>27.01.2025 - ТОЛЬКО ОДИН ДЕНЬ 1900 рублей</t>
  </si>
  <si>
    <t>c 28.01 по 27.02 включительно - 2100p</t>
  </si>
  <si>
    <t>c 28.02 по 27.03 включительно - 2400р</t>
  </si>
  <si>
    <t>c 28.03 по 27.04 включительно - 2700р</t>
  </si>
  <si>
    <t>c 28.04 по 19.05 включительно - 3000р</t>
  </si>
  <si>
    <t>🔫 Бедретдинов А.</t>
  </si>
  <si>
    <t>Бедретдинов Александр Андреевич</t>
  </si>
  <si>
    <t>Бедретдинов Сергей Александрович</t>
  </si>
  <si>
    <t>🔫 Бедретдинов С.</t>
  </si>
  <si>
    <t>🔫 Макаренко О.</t>
  </si>
  <si>
    <t>Кожемякин Руслан Александрович</t>
  </si>
  <si>
    <t>🔫 Кожемякин Р.</t>
  </si>
  <si>
    <t>Прокат вторые 30 ВИП-комплектов</t>
  </si>
  <si>
    <t>🔫 Колесников И.</t>
  </si>
  <si>
    <t>Курцер Григорий Маркович</t>
  </si>
  <si>
    <t>🔫 Курцер Г.</t>
  </si>
  <si>
    <t>🔫 Фёдоров А.</t>
  </si>
  <si>
    <t>Мушкетоны бронь 3 шт</t>
  </si>
  <si>
    <t xml:space="preserve">Приходько Денис Алексеевич </t>
  </si>
  <si>
    <t>🔫 Приходько Д.</t>
  </si>
  <si>
    <t>Конин Кирилл Константинович</t>
  </si>
  <si>
    <t>ФУТБОЛКИ-24</t>
  </si>
  <si>
    <t>Кожин Владимир Евгеньевич</t>
  </si>
  <si>
    <t>Ильницкий Виталий Андреевич</t>
  </si>
  <si>
    <t>🔫 Кожин В.</t>
  </si>
  <si>
    <t>🔫 Ильницкий В</t>
  </si>
  <si>
    <t>2 Виндера</t>
  </si>
  <si>
    <t>Сафонов</t>
  </si>
  <si>
    <t>🔫 Дащинский А.</t>
  </si>
  <si>
    <t>Штандарт</t>
  </si>
  <si>
    <t>Дащинский Андрей Викторович</t>
  </si>
  <si>
    <t>Из своих</t>
  </si>
  <si>
    <t>КАССА</t>
  </si>
  <si>
    <t xml:space="preserve">Довгенко Никита Павлович </t>
  </si>
  <si>
    <t>Алборов Глеб Витальевич</t>
  </si>
  <si>
    <t>Поздняков Дмитрий Сергеевич</t>
  </si>
  <si>
    <t>Семенюк Святослав Андреевич</t>
  </si>
  <si>
    <t xml:space="preserve">Семенюк Кирилл Андреевич </t>
  </si>
  <si>
    <t>Семенюк Андрей Иосифович</t>
  </si>
  <si>
    <t xml:space="preserve">🏹 </t>
  </si>
  <si>
    <t>10 заявок по 2100</t>
  </si>
  <si>
    <t>6 заявок по 2400 + 6 проката по 1500</t>
  </si>
  <si>
    <t>54 заявки по 1900 (74 списочно)</t>
  </si>
  <si>
    <t>🏹 Довгенко Н.</t>
  </si>
  <si>
    <t>🏹 Семенюк А.</t>
  </si>
  <si>
    <t>🏹 Семенюк К.</t>
  </si>
  <si>
    <t>🏹 Семенюк С.</t>
  </si>
  <si>
    <t>Тарасевич Виалета Владимировна</t>
  </si>
  <si>
    <t>Волхонская Виктория Владимировна</t>
  </si>
  <si>
    <t>🏹 Волхонская В.</t>
  </si>
  <si>
    <t>🏹 Тарасевич В.</t>
  </si>
  <si>
    <t>сама</t>
  </si>
  <si>
    <t>27.03.2025 в 12:45</t>
  </si>
  <si>
    <t>🏹 Алборов Г.</t>
  </si>
  <si>
    <t>Киров Святослав Александрович</t>
  </si>
  <si>
    <t>🏹 Киров С.</t>
  </si>
  <si>
    <t xml:space="preserve">Кузнецов Виталий Александрович </t>
  </si>
  <si>
    <t>🔫 Кузнецов В.</t>
  </si>
  <si>
    <t>Кузнецов Евгений Александрович</t>
  </si>
  <si>
    <t>3 заявки по 2400 + 2 проката по 1500</t>
  </si>
  <si>
    <t>28.03.2025 в телефонном разговоре с Сергеем зафиксировали стоимость заявки для ПМ в размере 2.400 рублей!</t>
  </si>
  <si>
    <t>Оплаченных заявок</t>
  </si>
  <si>
    <t>Выстрел</t>
  </si>
  <si>
    <t xml:space="preserve">🔫 </t>
  </si>
  <si>
    <t>Троицкая Олеся Олеговна</t>
  </si>
  <si>
    <t>Пожидаев Дмитрий Павлович</t>
  </si>
  <si>
    <t>🔫 Троицкая О.</t>
  </si>
  <si>
    <t>🔫 Пожидаев Д.</t>
  </si>
  <si>
    <t>АРИСТОВ</t>
  </si>
  <si>
    <t>Пожидаев Константин Павлович</t>
  </si>
  <si>
    <t>Кузьмин Максим Александрович</t>
  </si>
  <si>
    <t>Кузьмина Полина Васильевна</t>
  </si>
  <si>
    <t>Юсупов Ильдар Ильдусович</t>
  </si>
  <si>
    <t>Лапицкая Совья Сергеевна</t>
  </si>
  <si>
    <t>Рубцов Александр Георгиевич</t>
  </si>
  <si>
    <t>Рубцов Максим Александрович</t>
  </si>
  <si>
    <t>🔫 Рубцов А.</t>
  </si>
  <si>
    <t>Анисимов Игорь Олегович</t>
  </si>
  <si>
    <t>🔫 Анисимов И.</t>
  </si>
  <si>
    <t>Кандидатов Олег Александрович</t>
  </si>
  <si>
    <t>🔫 Кандидатов О.</t>
  </si>
  <si>
    <t>Маркин Вадим Александрович</t>
  </si>
  <si>
    <t>Кандидатов Артур Вадимович</t>
  </si>
  <si>
    <t>Кандидатов Тимур Вадимович</t>
  </si>
  <si>
    <t>Кузнецов Владимир Витальевич</t>
  </si>
  <si>
    <t>Седов Даниил Алексеевич</t>
  </si>
  <si>
    <t>🏹 Поздняков Д.</t>
  </si>
  <si>
    <t>🏹 Кузьмин М.</t>
  </si>
  <si>
    <t>🏹 Кузьмина П.</t>
  </si>
  <si>
    <t>Золотухина Полина Анатольевна</t>
  </si>
  <si>
    <t>15 ВИП-Механика</t>
  </si>
  <si>
    <t>🔫 Маркин В.</t>
  </si>
  <si>
    <t>🔫 Кандидатов Т.</t>
  </si>
  <si>
    <t>🔫 Кандидатов А.</t>
  </si>
  <si>
    <t>до сюда весь ВИП проверен!</t>
  </si>
  <si>
    <t xml:space="preserve"> +2 сами</t>
  </si>
  <si>
    <t>не оплачено в ЗЗ</t>
  </si>
  <si>
    <t>Команда</t>
  </si>
  <si>
    <t>Лоси</t>
  </si>
  <si>
    <t>Тигры</t>
  </si>
  <si>
    <t>Панды</t>
  </si>
  <si>
    <t>Волки</t>
  </si>
  <si>
    <t>Рыси</t>
  </si>
  <si>
    <t>Львы</t>
  </si>
  <si>
    <t>Лисы</t>
  </si>
  <si>
    <t>Медведи</t>
  </si>
  <si>
    <t>Пчёлы</t>
  </si>
  <si>
    <t>Еноты</t>
  </si>
  <si>
    <t>Звание</t>
  </si>
  <si>
    <t>Десятник</t>
  </si>
  <si>
    <t>+</t>
  </si>
  <si>
    <t xml:space="preserve"> +5 своих</t>
  </si>
  <si>
    <t>шт.</t>
  </si>
  <si>
    <t>с №17</t>
  </si>
  <si>
    <t>ПРОКАТ Маркеров</t>
  </si>
  <si>
    <t>Типман</t>
  </si>
  <si>
    <t>Электроника</t>
  </si>
  <si>
    <t>ВИП</t>
  </si>
  <si>
    <t>Механика</t>
  </si>
  <si>
    <t>ЭТО и ВСЁ ВЫШЕ ОПЛАЧЕНО В ЗЗ, кроме части обычного проката (красным), кроме заявки №84</t>
  </si>
  <si>
    <t>🔫 Седов Д.</t>
  </si>
  <si>
    <t>🔫 Золотухина П.</t>
  </si>
  <si>
    <t>Яшин Алексей Константинович</t>
  </si>
  <si>
    <t xml:space="preserve">Яшина Татьяна Владимировна </t>
  </si>
  <si>
    <t>Яшин Лев Алексеевич</t>
  </si>
  <si>
    <t>Зорин Илья Сергеевич</t>
  </si>
  <si>
    <t>Култин Сергей Игоревич</t>
  </si>
  <si>
    <t>🔫 Зорин И.</t>
  </si>
  <si>
    <t>🔫 Култин С.</t>
  </si>
  <si>
    <t>🔫 Яшин А.</t>
  </si>
  <si>
    <t>🔫 Яшина Т.</t>
  </si>
  <si>
    <t>🔫 Яшин Л.</t>
  </si>
  <si>
    <t>Танатарова Анна Сергеева</t>
  </si>
  <si>
    <t>Фёдоров Иннокентий Сергеевиц</t>
  </si>
  <si>
    <t>сам</t>
  </si>
  <si>
    <t>Шарафетдинов Григорй Рустамович</t>
  </si>
  <si>
    <t>18.03.2025 Оплата в ЗЗ</t>
  </si>
  <si>
    <t>20.02.2025 Оплата в ЗЗ</t>
  </si>
  <si>
    <t>Коротков Алексей Александрович</t>
  </si>
  <si>
    <t>Тент</t>
  </si>
  <si>
    <t>Отмена</t>
  </si>
  <si>
    <t>Вместо №27 - Фроленко Настя, заявка за 1900 + ВИП-Эл</t>
  </si>
  <si>
    <t>🔫 Коротков А.</t>
  </si>
  <si>
    <t>🔫 Хазов 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</si>
</sst>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4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0" tint="-4.9989318521683403E-2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0" fontId="0" fillId="5" borderId="0" xfId="0" applyFill="1"/>
    <xf numFmtId="0" fontId="1" fillId="0" borderId="0" xfId="0" applyFont="1" applyAlignment="1">
      <alignment horizontal="righ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5" fillId="0" borderId="0" xfId="0" applyFont="1" applyAlignment="1">
      <alignment horizontal="center"/>
    </xf>
    <xf numFmtId="0" fontId="1" fillId="5" borderId="0" xfId="0" applyFont="1" applyFill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right"/>
    </xf>
    <xf numFmtId="0" fontId="1" fillId="0" borderId="9" xfId="0" applyFont="1" applyBorder="1"/>
    <xf numFmtId="0" fontId="7" fillId="7" borderId="1" xfId="0" applyFont="1" applyFill="1" applyBorder="1"/>
    <xf numFmtId="14" fontId="7" fillId="7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4" fillId="8" borderId="1" xfId="0" applyFont="1" applyFill="1" applyBorder="1" applyAlignment="1">
      <alignment horizontal="left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Fill="1"/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2"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CB00-D41B-4BC3-82C5-38F3054B1746}">
  <sheetPr codeName="Лист1">
    <pageSetUpPr fitToPage="1"/>
  </sheetPr>
  <dimension ref="A1:V173"/>
  <sheetViews>
    <sheetView tabSelected="1" zoomScale="115" zoomScaleNormal="115" zoomScaleSheetLayoutView="115" workbookViewId="0">
      <pane ySplit="4" topLeftCell="A113" activePane="bottomLeft" state="frozen"/>
      <selection pane="bottomLeft" activeCell="Q27" sqref="Q27"/>
    </sheetView>
  </sheetViews>
  <sheetFormatPr defaultRowHeight="15" x14ac:dyDescent="0.25"/>
  <cols>
    <col min="1" max="1" width="4.42578125" style="1" bestFit="1" customWidth="1"/>
    <col min="2" max="2" width="44.85546875" bestFit="1" customWidth="1"/>
    <col min="3" max="4" width="11.140625" style="1" bestFit="1" customWidth="1"/>
    <col min="5" max="5" width="9.5703125" style="1" bestFit="1" customWidth="1"/>
    <col min="6" max="6" width="9" style="19" bestFit="1" customWidth="1"/>
    <col min="7" max="7" width="9.28515625" style="1" bestFit="1" customWidth="1"/>
    <col min="8" max="8" width="11.140625" style="1" bestFit="1" customWidth="1"/>
    <col min="9" max="10" width="7.7109375" style="1" bestFit="1" customWidth="1"/>
    <col min="11" max="11" width="10.85546875" style="1" bestFit="1" customWidth="1"/>
    <col min="12" max="13" width="7.5703125" style="6" bestFit="1" customWidth="1"/>
    <col min="14" max="14" width="4.5703125" customWidth="1"/>
    <col min="15" max="15" width="16" style="1" bestFit="1" customWidth="1"/>
    <col min="16" max="16" width="2.85546875" style="1" customWidth="1"/>
    <col min="17" max="17" width="5.140625" style="1" customWidth="1"/>
    <col min="18" max="18" width="20.28515625" bestFit="1" customWidth="1"/>
    <col min="19" max="19" width="16.5703125" bestFit="1" customWidth="1"/>
  </cols>
  <sheetData>
    <row r="1" spans="1:20" ht="57" x14ac:dyDescent="0.85">
      <c r="A1" s="69" t="s">
        <v>105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70"/>
      <c r="M1" s="45"/>
      <c r="P1"/>
      <c r="Q1"/>
    </row>
    <row r="2" spans="1:20" ht="30" x14ac:dyDescent="0.25">
      <c r="A2" s="62" t="s">
        <v>2</v>
      </c>
      <c r="B2" s="62" t="s">
        <v>0</v>
      </c>
      <c r="C2" s="62" t="s">
        <v>70</v>
      </c>
      <c r="D2" s="73" t="s">
        <v>281</v>
      </c>
      <c r="E2" s="73" t="s">
        <v>292</v>
      </c>
      <c r="F2" s="67" t="s">
        <v>1</v>
      </c>
      <c r="G2" s="5" t="s">
        <v>74</v>
      </c>
      <c r="H2" s="5" t="s">
        <v>15</v>
      </c>
      <c r="I2" s="5" t="s">
        <v>6</v>
      </c>
      <c r="J2" s="5" t="s">
        <v>7</v>
      </c>
      <c r="K2" s="5" t="s">
        <v>141</v>
      </c>
      <c r="L2" s="75" t="s">
        <v>246</v>
      </c>
      <c r="M2" s="75"/>
      <c r="O2" s="5" t="s">
        <v>135</v>
      </c>
      <c r="P2"/>
      <c r="Q2" s="62" t="s">
        <v>298</v>
      </c>
      <c r="R2" s="62"/>
      <c r="S2" s="62"/>
    </row>
    <row r="3" spans="1:20" x14ac:dyDescent="0.25">
      <c r="A3" s="62"/>
      <c r="B3" s="62"/>
      <c r="C3" s="62"/>
      <c r="D3" s="74"/>
      <c r="E3" s="74"/>
      <c r="F3" s="68"/>
      <c r="G3" s="5">
        <v>1500</v>
      </c>
      <c r="H3" s="5" t="s">
        <v>101</v>
      </c>
      <c r="I3" s="5">
        <v>4000</v>
      </c>
      <c r="J3" s="5">
        <v>3500</v>
      </c>
      <c r="K3" s="5">
        <v>1000</v>
      </c>
      <c r="L3" s="5">
        <v>350</v>
      </c>
      <c r="M3" s="5" t="s">
        <v>296</v>
      </c>
      <c r="O3" s="10">
        <v>45801</v>
      </c>
      <c r="P3"/>
      <c r="Q3" s="4" t="s">
        <v>301</v>
      </c>
      <c r="R3" s="4" t="s">
        <v>300</v>
      </c>
      <c r="S3" s="4" t="s">
        <v>299</v>
      </c>
    </row>
    <row r="4" spans="1:20" x14ac:dyDescent="0.25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O4" s="4">
        <v>14</v>
      </c>
      <c r="P4"/>
      <c r="Q4" s="4">
        <v>15</v>
      </c>
      <c r="R4" s="4">
        <v>16</v>
      </c>
      <c r="S4" s="4">
        <v>17</v>
      </c>
      <c r="T4" s="47">
        <v>18</v>
      </c>
    </row>
    <row r="5" spans="1:20" x14ac:dyDescent="0.25">
      <c r="A5" s="2">
        <v>1</v>
      </c>
      <c r="B5" s="3" t="s">
        <v>23</v>
      </c>
      <c r="C5" s="10">
        <v>30326</v>
      </c>
      <c r="D5" s="10" t="s">
        <v>282</v>
      </c>
      <c r="E5" s="10"/>
      <c r="F5" s="17">
        <v>1900</v>
      </c>
      <c r="G5" s="2"/>
      <c r="H5" s="2"/>
      <c r="I5" s="2"/>
      <c r="J5" s="2"/>
      <c r="K5" s="2" t="s">
        <v>294</v>
      </c>
      <c r="L5" s="2"/>
      <c r="M5" s="2">
        <v>40</v>
      </c>
      <c r="O5" s="20">
        <f t="shared" ref="O5:O36" si="0">($O$3-C5)/365</f>
        <v>42.397260273972606</v>
      </c>
      <c r="P5"/>
      <c r="Q5" s="24">
        <v>1</v>
      </c>
      <c r="R5" s="3" t="s">
        <v>122</v>
      </c>
      <c r="S5" s="3" t="s">
        <v>166</v>
      </c>
    </row>
    <row r="6" spans="1:20" x14ac:dyDescent="0.25">
      <c r="A6" s="2">
        <v>2</v>
      </c>
      <c r="B6" s="11" t="s">
        <v>85</v>
      </c>
      <c r="C6" s="10">
        <v>42704</v>
      </c>
      <c r="D6" s="10" t="s">
        <v>282</v>
      </c>
      <c r="E6" s="10"/>
      <c r="F6" s="18"/>
      <c r="G6" s="2"/>
      <c r="H6" s="2"/>
      <c r="I6" s="2"/>
      <c r="J6" s="2"/>
      <c r="K6" s="2"/>
      <c r="L6" s="2"/>
      <c r="M6" s="2"/>
      <c r="O6" s="20">
        <f t="shared" si="0"/>
        <v>8.4849315068493159</v>
      </c>
      <c r="P6"/>
      <c r="Q6" s="24">
        <v>2</v>
      </c>
      <c r="R6" s="3" t="s">
        <v>123</v>
      </c>
      <c r="S6" s="3" t="s">
        <v>167</v>
      </c>
    </row>
    <row r="7" spans="1:20" x14ac:dyDescent="0.25">
      <c r="A7" s="2">
        <v>3</v>
      </c>
      <c r="B7" s="50" t="s">
        <v>19</v>
      </c>
      <c r="C7" s="51">
        <v>37280</v>
      </c>
      <c r="D7" s="51" t="s">
        <v>283</v>
      </c>
      <c r="E7" s="51" t="s">
        <v>293</v>
      </c>
      <c r="F7" s="17">
        <v>1900</v>
      </c>
      <c r="G7" s="2"/>
      <c r="H7" s="2"/>
      <c r="I7" s="2">
        <v>2000</v>
      </c>
      <c r="J7" s="2"/>
      <c r="K7" s="2"/>
      <c r="L7" s="2"/>
      <c r="M7" s="2"/>
      <c r="O7" s="20">
        <f t="shared" si="0"/>
        <v>23.345205479452055</v>
      </c>
      <c r="P7"/>
      <c r="Q7" s="24">
        <v>3</v>
      </c>
      <c r="R7" s="3" t="s">
        <v>124</v>
      </c>
      <c r="S7" s="3" t="s">
        <v>227</v>
      </c>
    </row>
    <row r="8" spans="1:20" x14ac:dyDescent="0.25">
      <c r="A8" s="2">
        <v>4</v>
      </c>
      <c r="B8" s="3" t="s">
        <v>47</v>
      </c>
      <c r="C8" s="10">
        <v>31602</v>
      </c>
      <c r="D8" s="10" t="s">
        <v>284</v>
      </c>
      <c r="E8" s="10"/>
      <c r="F8" s="17">
        <v>1900</v>
      </c>
      <c r="G8" s="2"/>
      <c r="H8" s="2"/>
      <c r="I8" s="2">
        <v>2000</v>
      </c>
      <c r="J8" s="2"/>
      <c r="K8" s="2" t="s">
        <v>294</v>
      </c>
      <c r="L8" s="2"/>
      <c r="M8" s="2">
        <v>0</v>
      </c>
      <c r="O8" s="20">
        <f t="shared" si="0"/>
        <v>38.901369863013699</v>
      </c>
      <c r="P8"/>
      <c r="Q8" s="24">
        <v>4</v>
      </c>
      <c r="R8" s="3" t="s">
        <v>125</v>
      </c>
      <c r="S8" s="3" t="s">
        <v>228</v>
      </c>
    </row>
    <row r="9" spans="1:20" x14ac:dyDescent="0.25">
      <c r="A9" s="2">
        <v>5</v>
      </c>
      <c r="B9" s="50" t="s">
        <v>24</v>
      </c>
      <c r="C9" s="51">
        <v>31014</v>
      </c>
      <c r="D9" s="51" t="s">
        <v>285</v>
      </c>
      <c r="E9" s="51" t="s">
        <v>293</v>
      </c>
      <c r="F9" s="17">
        <v>1900</v>
      </c>
      <c r="G9" s="2"/>
      <c r="H9" s="2"/>
      <c r="I9" s="2">
        <v>1000</v>
      </c>
      <c r="J9" s="2"/>
      <c r="K9" s="2"/>
      <c r="L9" s="2"/>
      <c r="M9" s="2">
        <v>20</v>
      </c>
      <c r="O9" s="20">
        <f t="shared" si="0"/>
        <v>40.512328767123286</v>
      </c>
      <c r="P9"/>
      <c r="Q9" s="24">
        <v>5</v>
      </c>
      <c r="R9" s="3" t="s">
        <v>126</v>
      </c>
      <c r="S9" s="3" t="s">
        <v>229</v>
      </c>
    </row>
    <row r="10" spans="1:20" x14ac:dyDescent="0.25">
      <c r="A10" s="2">
        <v>6</v>
      </c>
      <c r="B10" s="11" t="s">
        <v>86</v>
      </c>
      <c r="C10" s="10">
        <v>42560</v>
      </c>
      <c r="D10" s="10" t="s">
        <v>285</v>
      </c>
      <c r="E10" s="10"/>
      <c r="F10" s="18"/>
      <c r="G10" s="2"/>
      <c r="H10" s="2"/>
      <c r="I10" s="2"/>
      <c r="J10" s="2"/>
      <c r="K10" s="2"/>
      <c r="L10" s="2"/>
      <c r="M10" s="2"/>
      <c r="O10" s="20">
        <f t="shared" si="0"/>
        <v>8.8794520547945197</v>
      </c>
      <c r="P10"/>
      <c r="Q10" s="24">
        <v>6</v>
      </c>
      <c r="R10" s="3" t="s">
        <v>127</v>
      </c>
      <c r="S10" s="3" t="s">
        <v>230</v>
      </c>
    </row>
    <row r="11" spans="1:20" x14ac:dyDescent="0.25">
      <c r="A11" s="2">
        <v>7</v>
      </c>
      <c r="B11" s="11" t="s">
        <v>97</v>
      </c>
      <c r="C11" s="10">
        <v>39849</v>
      </c>
      <c r="D11" s="10" t="s">
        <v>282</v>
      </c>
      <c r="E11" s="10"/>
      <c r="F11" s="17">
        <v>1900</v>
      </c>
      <c r="G11" s="2"/>
      <c r="H11" s="2"/>
      <c r="I11" s="2">
        <v>1000</v>
      </c>
      <c r="J11" s="2"/>
      <c r="K11" s="2"/>
      <c r="L11" s="2"/>
      <c r="M11" s="2"/>
      <c r="O11" s="20">
        <f t="shared" si="0"/>
        <v>16.306849315068494</v>
      </c>
      <c r="P11"/>
      <c r="Q11" s="24">
        <v>7</v>
      </c>
      <c r="R11" s="3" t="s">
        <v>128</v>
      </c>
      <c r="S11" s="3" t="s">
        <v>233</v>
      </c>
    </row>
    <row r="12" spans="1:20" x14ac:dyDescent="0.25">
      <c r="A12" s="2">
        <v>8</v>
      </c>
      <c r="B12" s="50" t="s">
        <v>90</v>
      </c>
      <c r="C12" s="51">
        <v>30258</v>
      </c>
      <c r="D12" s="51" t="s">
        <v>282</v>
      </c>
      <c r="E12" s="51" t="s">
        <v>293</v>
      </c>
      <c r="F12" s="17">
        <v>1900</v>
      </c>
      <c r="G12" s="2"/>
      <c r="H12" s="2"/>
      <c r="I12" s="2"/>
      <c r="J12" s="2"/>
      <c r="K12" s="2"/>
      <c r="L12" s="2"/>
      <c r="M12" s="2"/>
      <c r="O12" s="20">
        <f t="shared" si="0"/>
        <v>42.583561643835615</v>
      </c>
      <c r="P12"/>
      <c r="Q12" s="24">
        <v>8</v>
      </c>
      <c r="R12" s="3" t="s">
        <v>129</v>
      </c>
      <c r="S12" s="3" t="s">
        <v>234</v>
      </c>
    </row>
    <row r="13" spans="1:20" x14ac:dyDescent="0.25">
      <c r="A13" s="2">
        <v>9</v>
      </c>
      <c r="B13" s="11" t="s">
        <v>91</v>
      </c>
      <c r="C13" s="10">
        <v>40294</v>
      </c>
      <c r="D13" s="10" t="s">
        <v>282</v>
      </c>
      <c r="E13" s="10"/>
      <c r="F13" s="17">
        <v>1900</v>
      </c>
      <c r="G13" s="2"/>
      <c r="H13" s="2"/>
      <c r="I13" s="2">
        <v>1000</v>
      </c>
      <c r="J13" s="2"/>
      <c r="K13" s="2"/>
      <c r="L13" s="2"/>
      <c r="M13" s="2"/>
      <c r="O13" s="20">
        <f t="shared" si="0"/>
        <v>15.087671232876712</v>
      </c>
      <c r="P13"/>
      <c r="Q13" s="24">
        <v>9</v>
      </c>
      <c r="R13" s="3" t="s">
        <v>130</v>
      </c>
      <c r="S13" s="44" t="s">
        <v>237</v>
      </c>
      <c r="T13" t="s">
        <v>280</v>
      </c>
    </row>
    <row r="14" spans="1:20" x14ac:dyDescent="0.25">
      <c r="A14" s="2">
        <v>10</v>
      </c>
      <c r="B14" s="11" t="s">
        <v>96</v>
      </c>
      <c r="C14" s="10">
        <v>42353</v>
      </c>
      <c r="D14" s="10" t="s">
        <v>282</v>
      </c>
      <c r="E14" s="10"/>
      <c r="F14" s="18"/>
      <c r="G14" s="2"/>
      <c r="H14" s="2"/>
      <c r="I14" s="2">
        <v>1000</v>
      </c>
      <c r="J14" s="2"/>
      <c r="K14" s="2"/>
      <c r="L14" s="2"/>
      <c r="M14" s="2"/>
      <c r="O14" s="20">
        <f t="shared" si="0"/>
        <v>9.4465753424657528</v>
      </c>
      <c r="P14"/>
      <c r="Q14" s="24">
        <v>10</v>
      </c>
      <c r="R14" s="3" t="s">
        <v>131</v>
      </c>
      <c r="S14" s="44" t="s">
        <v>239</v>
      </c>
      <c r="T14" t="s">
        <v>280</v>
      </c>
    </row>
    <row r="15" spans="1:20" x14ac:dyDescent="0.25">
      <c r="A15" s="2">
        <v>11</v>
      </c>
      <c r="B15" s="11" t="s">
        <v>87</v>
      </c>
      <c r="C15" s="10">
        <v>41425</v>
      </c>
      <c r="D15" s="10" t="s">
        <v>286</v>
      </c>
      <c r="E15" s="10"/>
      <c r="F15" s="18"/>
      <c r="G15" s="2"/>
      <c r="H15" s="2"/>
      <c r="I15" s="2"/>
      <c r="J15" s="2"/>
      <c r="K15" s="2"/>
      <c r="L15" s="2"/>
      <c r="M15" s="2"/>
      <c r="O15" s="20">
        <f t="shared" si="0"/>
        <v>11.989041095890411</v>
      </c>
      <c r="P15"/>
      <c r="Q15" s="24">
        <v>11</v>
      </c>
      <c r="R15" s="3" t="s">
        <v>132</v>
      </c>
      <c r="S15" s="44" t="s">
        <v>270</v>
      </c>
      <c r="T15" t="s">
        <v>280</v>
      </c>
    </row>
    <row r="16" spans="1:20" x14ac:dyDescent="0.25">
      <c r="A16" s="2">
        <v>12</v>
      </c>
      <c r="B16" s="50" t="s">
        <v>46</v>
      </c>
      <c r="C16" s="51">
        <v>31748</v>
      </c>
      <c r="D16" s="51" t="s">
        <v>286</v>
      </c>
      <c r="E16" s="51" t="s">
        <v>293</v>
      </c>
      <c r="F16" s="17">
        <v>1900</v>
      </c>
      <c r="G16" s="2"/>
      <c r="H16" s="2"/>
      <c r="I16" s="2">
        <v>1000</v>
      </c>
      <c r="J16" s="2"/>
      <c r="K16" s="2"/>
      <c r="L16" s="2"/>
      <c r="M16" s="2"/>
      <c r="O16" s="20">
        <f t="shared" si="0"/>
        <v>38.5013698630137</v>
      </c>
      <c r="P16"/>
      <c r="Q16" s="24">
        <v>12</v>
      </c>
      <c r="R16" s="3" t="s">
        <v>133</v>
      </c>
      <c r="S16" s="44" t="s">
        <v>271</v>
      </c>
      <c r="T16" t="s">
        <v>280</v>
      </c>
    </row>
    <row r="17" spans="1:20" x14ac:dyDescent="0.25">
      <c r="A17" s="2">
        <v>13</v>
      </c>
      <c r="B17" s="3" t="s">
        <v>58</v>
      </c>
      <c r="C17" s="10">
        <v>32932</v>
      </c>
      <c r="D17" s="10" t="s">
        <v>287</v>
      </c>
      <c r="E17" s="10"/>
      <c r="F17" s="17">
        <v>1900</v>
      </c>
      <c r="G17" s="2"/>
      <c r="H17" s="2"/>
      <c r="I17" s="2"/>
      <c r="J17" s="2"/>
      <c r="K17" s="2"/>
      <c r="L17" s="2"/>
      <c r="M17" s="2"/>
      <c r="O17" s="20">
        <f t="shared" si="0"/>
        <v>35.257534246575339</v>
      </c>
      <c r="P17"/>
      <c r="Q17" s="24">
        <v>13</v>
      </c>
      <c r="R17" s="3" t="s">
        <v>134</v>
      </c>
      <c r="S17" s="44" t="s">
        <v>272</v>
      </c>
      <c r="T17" t="s">
        <v>280</v>
      </c>
    </row>
    <row r="18" spans="1:20" x14ac:dyDescent="0.25">
      <c r="A18" s="2">
        <v>14</v>
      </c>
      <c r="B18" s="50" t="s">
        <v>61</v>
      </c>
      <c r="C18" s="51">
        <v>30360</v>
      </c>
      <c r="D18" s="51" t="s">
        <v>288</v>
      </c>
      <c r="E18" s="51" t="s">
        <v>293</v>
      </c>
      <c r="F18" s="17">
        <v>1900</v>
      </c>
      <c r="G18" s="2"/>
      <c r="H18" s="2"/>
      <c r="I18" s="2">
        <v>1000</v>
      </c>
      <c r="J18" s="2"/>
      <c r="K18" s="2"/>
      <c r="L18" s="2"/>
      <c r="M18" s="2"/>
      <c r="O18" s="20">
        <f t="shared" si="0"/>
        <v>42.304109589041097</v>
      </c>
      <c r="P18"/>
      <c r="Q18" s="24">
        <v>14</v>
      </c>
      <c r="R18" s="3" t="s">
        <v>178</v>
      </c>
      <c r="S18" s="3" t="s">
        <v>223</v>
      </c>
    </row>
    <row r="19" spans="1:20" x14ac:dyDescent="0.25">
      <c r="A19" s="2">
        <v>15</v>
      </c>
      <c r="B19" s="11" t="s">
        <v>88</v>
      </c>
      <c r="C19" s="10">
        <v>42035</v>
      </c>
      <c r="D19" s="10" t="s">
        <v>288</v>
      </c>
      <c r="E19" s="10"/>
      <c r="F19" s="18"/>
      <c r="G19" s="2"/>
      <c r="H19" s="2"/>
      <c r="I19" s="2">
        <v>1000</v>
      </c>
      <c r="J19" s="2"/>
      <c r="K19" s="2"/>
      <c r="L19" s="2"/>
      <c r="M19" s="2"/>
      <c r="O19" s="20">
        <f t="shared" si="0"/>
        <v>10.317808219178081</v>
      </c>
      <c r="P19"/>
      <c r="Q19" s="24">
        <v>15</v>
      </c>
      <c r="R19" s="3" t="s">
        <v>179</v>
      </c>
      <c r="S19" s="3" t="s">
        <v>223</v>
      </c>
    </row>
    <row r="20" spans="1:20" x14ac:dyDescent="0.25">
      <c r="A20" s="2">
        <v>16</v>
      </c>
      <c r="B20" s="11" t="s">
        <v>89</v>
      </c>
      <c r="C20" s="10">
        <v>40963</v>
      </c>
      <c r="D20" s="10" t="s">
        <v>286</v>
      </c>
      <c r="E20" s="10"/>
      <c r="F20" s="18"/>
      <c r="G20" s="2"/>
      <c r="H20" s="2"/>
      <c r="I20" s="2">
        <v>1000</v>
      </c>
      <c r="J20" s="2"/>
      <c r="K20" s="2"/>
      <c r="L20" s="2"/>
      <c r="M20" s="2"/>
      <c r="O20" s="20">
        <f t="shared" si="0"/>
        <v>13.254794520547945</v>
      </c>
      <c r="P20"/>
      <c r="Q20" s="24">
        <v>16</v>
      </c>
      <c r="R20" s="3" t="s">
        <v>180</v>
      </c>
      <c r="S20" s="3" t="s">
        <v>223</v>
      </c>
    </row>
    <row r="21" spans="1:20" x14ac:dyDescent="0.25">
      <c r="A21" s="2">
        <v>17</v>
      </c>
      <c r="B21" s="3" t="s">
        <v>79</v>
      </c>
      <c r="C21" s="10">
        <v>28352</v>
      </c>
      <c r="D21" s="10" t="s">
        <v>286</v>
      </c>
      <c r="E21" s="10"/>
      <c r="F21" s="17">
        <v>1900</v>
      </c>
      <c r="G21" s="2"/>
      <c r="H21" s="2"/>
      <c r="I21" s="2">
        <v>2000</v>
      </c>
      <c r="J21" s="2"/>
      <c r="K21" s="2"/>
      <c r="L21" s="2"/>
      <c r="M21" s="2"/>
      <c r="O21" s="20">
        <f t="shared" si="0"/>
        <v>47.805479452054797</v>
      </c>
      <c r="P21"/>
      <c r="Q21" s="24">
        <v>17</v>
      </c>
      <c r="R21" s="3" t="s">
        <v>181</v>
      </c>
      <c r="S21" s="3" t="s">
        <v>223</v>
      </c>
    </row>
    <row r="22" spans="1:20" x14ac:dyDescent="0.25">
      <c r="A22" s="2">
        <v>18</v>
      </c>
      <c r="B22" s="3" t="s">
        <v>28</v>
      </c>
      <c r="C22" s="10">
        <v>30552</v>
      </c>
      <c r="D22" s="10" t="s">
        <v>289</v>
      </c>
      <c r="E22" s="10"/>
      <c r="F22" s="17">
        <v>1900</v>
      </c>
      <c r="G22" s="2"/>
      <c r="H22" s="2"/>
      <c r="I22" s="2">
        <v>1000</v>
      </c>
      <c r="J22" s="2"/>
      <c r="K22" s="2"/>
      <c r="L22" s="2"/>
      <c r="M22" s="2"/>
      <c r="O22" s="20">
        <f t="shared" si="0"/>
        <v>41.778082191780825</v>
      </c>
      <c r="P22"/>
      <c r="Q22" s="24">
        <v>18</v>
      </c>
      <c r="R22" s="3" t="s">
        <v>182</v>
      </c>
      <c r="S22" s="3" t="s">
        <v>223</v>
      </c>
    </row>
    <row r="23" spans="1:20" x14ac:dyDescent="0.25">
      <c r="A23" s="2">
        <v>19</v>
      </c>
      <c r="B23" s="11" t="s">
        <v>92</v>
      </c>
      <c r="C23" s="10">
        <v>41759</v>
      </c>
      <c r="D23" s="10" t="s">
        <v>289</v>
      </c>
      <c r="E23" s="10"/>
      <c r="F23" s="18"/>
      <c r="G23" s="2"/>
      <c r="H23" s="2"/>
      <c r="I23" s="2">
        <v>1000</v>
      </c>
      <c r="J23" s="2"/>
      <c r="K23" s="2"/>
      <c r="L23" s="2"/>
      <c r="M23" s="2"/>
      <c r="O23" s="20">
        <f t="shared" si="0"/>
        <v>11.073972602739726</v>
      </c>
      <c r="P23"/>
      <c r="Q23" s="24">
        <v>19</v>
      </c>
      <c r="R23" s="3" t="s">
        <v>136</v>
      </c>
      <c r="S23" s="3" t="s">
        <v>223</v>
      </c>
    </row>
    <row r="24" spans="1:20" x14ac:dyDescent="0.25">
      <c r="A24" s="58">
        <v>20</v>
      </c>
      <c r="B24" s="54" t="s">
        <v>93</v>
      </c>
      <c r="C24" s="55">
        <v>40098</v>
      </c>
      <c r="D24" s="55" t="s">
        <v>291</v>
      </c>
      <c r="E24" s="55"/>
      <c r="F24" s="59">
        <v>1900</v>
      </c>
      <c r="G24" s="58"/>
      <c r="H24" s="58"/>
      <c r="I24" s="58">
        <v>1000</v>
      </c>
      <c r="J24" s="58"/>
      <c r="K24" s="58"/>
      <c r="L24" s="58"/>
      <c r="M24" s="58"/>
      <c r="O24" s="20">
        <f t="shared" si="0"/>
        <v>15.624657534246575</v>
      </c>
      <c r="P24"/>
      <c r="Q24" s="83">
        <v>20</v>
      </c>
      <c r="R24" s="78" t="s">
        <v>327</v>
      </c>
      <c r="S24" s="3" t="s">
        <v>223</v>
      </c>
    </row>
    <row r="25" spans="1:20" x14ac:dyDescent="0.25">
      <c r="A25" s="2">
        <v>21</v>
      </c>
      <c r="B25" s="3" t="s">
        <v>52</v>
      </c>
      <c r="C25" s="10">
        <v>31035</v>
      </c>
      <c r="D25" s="10" t="s">
        <v>291</v>
      </c>
      <c r="E25" s="10"/>
      <c r="F25" s="17">
        <v>1900</v>
      </c>
      <c r="G25" s="2"/>
      <c r="H25" s="2"/>
      <c r="I25" s="2"/>
      <c r="J25" s="2"/>
      <c r="K25" s="2"/>
      <c r="L25" s="2"/>
      <c r="M25" s="2"/>
      <c r="O25" s="20">
        <f t="shared" si="0"/>
        <v>40.454794520547942</v>
      </c>
      <c r="P25"/>
      <c r="Q25" s="60">
        <v>21</v>
      </c>
      <c r="R25" s="57" t="s">
        <v>137</v>
      </c>
    </row>
    <row r="26" spans="1:20" x14ac:dyDescent="0.25">
      <c r="A26" s="58">
        <v>22</v>
      </c>
      <c r="B26" s="56" t="s">
        <v>94</v>
      </c>
      <c r="C26" s="55">
        <v>40932</v>
      </c>
      <c r="D26" s="55" t="s">
        <v>291</v>
      </c>
      <c r="E26" s="55"/>
      <c r="F26" s="18"/>
      <c r="G26" s="58"/>
      <c r="H26" s="58"/>
      <c r="I26" s="58">
        <v>1000</v>
      </c>
      <c r="J26" s="58"/>
      <c r="K26" s="58"/>
      <c r="L26" s="58"/>
      <c r="M26" s="58"/>
      <c r="O26" s="20">
        <f t="shared" si="0"/>
        <v>13.33972602739726</v>
      </c>
      <c r="P26"/>
      <c r="Q26" s="24">
        <v>22</v>
      </c>
      <c r="R26" s="3" t="s">
        <v>140</v>
      </c>
    </row>
    <row r="27" spans="1:20" x14ac:dyDescent="0.25">
      <c r="A27" s="58">
        <v>23</v>
      </c>
      <c r="B27" s="57" t="s">
        <v>53</v>
      </c>
      <c r="C27" s="55">
        <v>31298</v>
      </c>
      <c r="D27" s="55" t="s">
        <v>291</v>
      </c>
      <c r="E27" s="55"/>
      <c r="F27" s="59">
        <v>1900</v>
      </c>
      <c r="G27" s="58"/>
      <c r="H27" s="58"/>
      <c r="I27" s="58"/>
      <c r="J27" s="58"/>
      <c r="K27" s="58"/>
      <c r="L27" s="58"/>
      <c r="M27" s="58"/>
      <c r="O27" s="20">
        <f t="shared" si="0"/>
        <v>39.734246575342468</v>
      </c>
      <c r="P27"/>
      <c r="Q27" s="24">
        <v>23</v>
      </c>
      <c r="R27" s="3" t="s">
        <v>326</v>
      </c>
    </row>
    <row r="28" spans="1:20" x14ac:dyDescent="0.25">
      <c r="A28" s="2">
        <v>24</v>
      </c>
      <c r="B28" s="3" t="s">
        <v>98</v>
      </c>
      <c r="C28" s="10">
        <v>30588</v>
      </c>
      <c r="D28" s="10" t="s">
        <v>288</v>
      </c>
      <c r="E28" s="10"/>
      <c r="F28" s="17">
        <v>1900</v>
      </c>
      <c r="G28" s="2"/>
      <c r="H28" s="2"/>
      <c r="I28" s="2">
        <v>1000</v>
      </c>
      <c r="J28" s="2"/>
      <c r="K28" s="2"/>
      <c r="L28" s="2"/>
      <c r="M28" s="2"/>
      <c r="O28" s="20">
        <f t="shared" si="0"/>
        <v>41.679452054794524</v>
      </c>
      <c r="P28"/>
      <c r="Q28" s="24">
        <v>24</v>
      </c>
      <c r="R28" s="3" t="s">
        <v>146</v>
      </c>
    </row>
    <row r="29" spans="1:20" x14ac:dyDescent="0.25">
      <c r="A29" s="2">
        <v>25</v>
      </c>
      <c r="B29" s="3" t="s">
        <v>99</v>
      </c>
      <c r="C29" s="10">
        <v>42346</v>
      </c>
      <c r="D29" s="10" t="s">
        <v>288</v>
      </c>
      <c r="E29" s="10"/>
      <c r="F29" s="18"/>
      <c r="G29" s="2"/>
      <c r="H29" s="2"/>
      <c r="I29" s="2">
        <v>1000</v>
      </c>
      <c r="J29" s="2"/>
      <c r="K29" s="2"/>
      <c r="L29" s="2"/>
      <c r="M29" s="2"/>
      <c r="O29" s="20">
        <f t="shared" si="0"/>
        <v>9.4657534246575334</v>
      </c>
      <c r="P29"/>
      <c r="Q29" s="24">
        <v>25</v>
      </c>
      <c r="R29" s="3" t="s">
        <v>147</v>
      </c>
    </row>
    <row r="30" spans="1:20" x14ac:dyDescent="0.25">
      <c r="A30" s="2">
        <v>26</v>
      </c>
      <c r="B30" s="50" t="s">
        <v>95</v>
      </c>
      <c r="C30" s="51">
        <v>31071</v>
      </c>
      <c r="D30" s="51" t="s">
        <v>289</v>
      </c>
      <c r="E30" s="51" t="s">
        <v>293</v>
      </c>
      <c r="F30" s="17">
        <v>1900</v>
      </c>
      <c r="G30" s="2"/>
      <c r="H30" s="2"/>
      <c r="I30" s="2"/>
      <c r="J30" s="2"/>
      <c r="K30" s="2" t="s">
        <v>294</v>
      </c>
      <c r="L30" s="2"/>
      <c r="M30" s="2"/>
      <c r="O30" s="20">
        <f t="shared" si="0"/>
        <v>40.356164383561641</v>
      </c>
      <c r="P30"/>
      <c r="Q30" s="24">
        <v>26</v>
      </c>
      <c r="R30" s="3" t="s">
        <v>148</v>
      </c>
    </row>
    <row r="31" spans="1:20" s="81" customFormat="1" x14ac:dyDescent="0.25">
      <c r="A31" s="77">
        <v>27</v>
      </c>
      <c r="B31" s="78" t="s">
        <v>322</v>
      </c>
      <c r="C31" s="79">
        <v>30161</v>
      </c>
      <c r="D31" s="79" t="s">
        <v>289</v>
      </c>
      <c r="E31" s="79" t="s">
        <v>324</v>
      </c>
      <c r="F31" s="80">
        <v>1900</v>
      </c>
      <c r="G31" s="77"/>
      <c r="H31" s="77"/>
      <c r="I31" s="77">
        <v>1000</v>
      </c>
      <c r="J31" s="77"/>
      <c r="K31" s="77"/>
      <c r="L31" s="77"/>
      <c r="M31" s="77"/>
      <c r="O31" s="82">
        <f t="shared" si="0"/>
        <v>42.849315068493148</v>
      </c>
      <c r="Q31" s="83">
        <v>27</v>
      </c>
      <c r="R31" s="78" t="s">
        <v>149</v>
      </c>
    </row>
    <row r="32" spans="1:20" x14ac:dyDescent="0.25">
      <c r="A32" s="2">
        <v>28</v>
      </c>
      <c r="B32" s="50" t="s">
        <v>63</v>
      </c>
      <c r="C32" s="51">
        <v>31764</v>
      </c>
      <c r="D32" s="51" t="s">
        <v>287</v>
      </c>
      <c r="E32" s="51" t="s">
        <v>293</v>
      </c>
      <c r="F32" s="17">
        <v>1900</v>
      </c>
      <c r="G32" s="2"/>
      <c r="H32" s="2"/>
      <c r="I32" s="2">
        <v>1000</v>
      </c>
      <c r="J32" s="2"/>
      <c r="K32" s="2"/>
      <c r="L32" s="2"/>
      <c r="M32" s="2"/>
      <c r="O32" s="20">
        <f t="shared" si="0"/>
        <v>38.457534246575342</v>
      </c>
      <c r="P32"/>
      <c r="Q32" s="24">
        <v>28</v>
      </c>
      <c r="R32" s="3" t="s">
        <v>150</v>
      </c>
    </row>
    <row r="33" spans="1:18" x14ac:dyDescent="0.25">
      <c r="A33" s="2">
        <v>29</v>
      </c>
      <c r="B33" s="3" t="s">
        <v>109</v>
      </c>
      <c r="C33" s="10">
        <v>41373</v>
      </c>
      <c r="D33" s="10" t="s">
        <v>287</v>
      </c>
      <c r="E33" s="10"/>
      <c r="F33" s="18"/>
      <c r="G33" s="2"/>
      <c r="H33" s="2"/>
      <c r="I33" s="2"/>
      <c r="J33" s="2"/>
      <c r="K33" s="2"/>
      <c r="L33" s="2"/>
      <c r="M33" s="2"/>
      <c r="O33" s="20">
        <f t="shared" si="0"/>
        <v>12.131506849315068</v>
      </c>
      <c r="P33"/>
      <c r="Q33" s="24">
        <v>29</v>
      </c>
      <c r="R33" s="3" t="s">
        <v>150</v>
      </c>
    </row>
    <row r="34" spans="1:18" x14ac:dyDescent="0.25">
      <c r="A34" s="2">
        <v>30</v>
      </c>
      <c r="B34" s="50" t="s">
        <v>41</v>
      </c>
      <c r="C34" s="51">
        <v>30342</v>
      </c>
      <c r="D34" s="51" t="s">
        <v>284</v>
      </c>
      <c r="E34" s="51" t="s">
        <v>293</v>
      </c>
      <c r="F34" s="17">
        <v>1900</v>
      </c>
      <c r="G34" s="2"/>
      <c r="H34" s="2"/>
      <c r="I34" s="2"/>
      <c r="J34" s="2"/>
      <c r="K34" s="2"/>
      <c r="L34" s="2"/>
      <c r="M34" s="2">
        <v>40</v>
      </c>
      <c r="O34" s="20">
        <f t="shared" si="0"/>
        <v>42.353424657534248</v>
      </c>
      <c r="P34"/>
      <c r="Q34" s="24">
        <v>30</v>
      </c>
      <c r="R34" s="3" t="s">
        <v>153</v>
      </c>
    </row>
    <row r="35" spans="1:18" x14ac:dyDescent="0.25">
      <c r="A35" s="2">
        <v>31</v>
      </c>
      <c r="B35" s="11" t="s">
        <v>102</v>
      </c>
      <c r="C35" s="10">
        <v>41901</v>
      </c>
      <c r="D35" s="10" t="s">
        <v>284</v>
      </c>
      <c r="E35" s="10"/>
      <c r="F35" s="18"/>
      <c r="G35" s="2"/>
      <c r="H35" s="2"/>
      <c r="I35" s="2"/>
      <c r="J35" s="2"/>
      <c r="K35" s="2"/>
      <c r="L35" s="2"/>
      <c r="M35" s="2"/>
      <c r="O35" s="20">
        <f t="shared" si="0"/>
        <v>10.684931506849315</v>
      </c>
      <c r="P35"/>
      <c r="Q35" s="24">
        <v>31</v>
      </c>
      <c r="R35" s="3" t="s">
        <v>155</v>
      </c>
    </row>
    <row r="36" spans="1:18" x14ac:dyDescent="0.25">
      <c r="A36" s="2">
        <v>32</v>
      </c>
      <c r="B36" s="3" t="s">
        <v>35</v>
      </c>
      <c r="C36" s="10">
        <v>37831</v>
      </c>
      <c r="D36" s="10" t="s">
        <v>286</v>
      </c>
      <c r="E36" s="10"/>
      <c r="F36" s="17">
        <v>1900</v>
      </c>
      <c r="G36" s="2"/>
      <c r="H36" s="2"/>
      <c r="I36" s="2"/>
      <c r="J36" s="2"/>
      <c r="K36" s="2"/>
      <c r="L36" s="2"/>
      <c r="M36" s="2"/>
      <c r="O36" s="20">
        <f t="shared" si="0"/>
        <v>21.835616438356166</v>
      </c>
      <c r="P36"/>
      <c r="Q36" s="24">
        <v>32</v>
      </c>
      <c r="R36" s="3" t="s">
        <v>154</v>
      </c>
    </row>
    <row r="37" spans="1:18" x14ac:dyDescent="0.25">
      <c r="A37" s="2">
        <v>33</v>
      </c>
      <c r="B37" s="3" t="s">
        <v>34</v>
      </c>
      <c r="C37" s="10">
        <v>28447</v>
      </c>
      <c r="D37" s="10" t="s">
        <v>286</v>
      </c>
      <c r="E37" s="10"/>
      <c r="F37" s="17">
        <v>1900</v>
      </c>
      <c r="G37" s="2"/>
      <c r="H37" s="2"/>
      <c r="I37" s="2"/>
      <c r="J37" s="2"/>
      <c r="K37" s="2" t="s">
        <v>294</v>
      </c>
      <c r="L37" s="2"/>
      <c r="M37" s="2">
        <v>20</v>
      </c>
      <c r="O37" s="20">
        <f t="shared" ref="O37:O68" si="1">($O$3-C37)/365</f>
        <v>47.545205479452058</v>
      </c>
      <c r="P37"/>
      <c r="Q37" s="24">
        <v>33</v>
      </c>
      <c r="R37" s="3" t="s">
        <v>156</v>
      </c>
    </row>
    <row r="38" spans="1:18" x14ac:dyDescent="0.25">
      <c r="A38" s="2">
        <v>34</v>
      </c>
      <c r="B38" s="3" t="s">
        <v>26</v>
      </c>
      <c r="C38" s="10">
        <v>28333</v>
      </c>
      <c r="D38" s="10" t="s">
        <v>289</v>
      </c>
      <c r="E38" s="10"/>
      <c r="F38" s="17">
        <v>1900</v>
      </c>
      <c r="G38" s="2"/>
      <c r="H38" s="2"/>
      <c r="I38" s="2" t="s">
        <v>118</v>
      </c>
      <c r="J38" s="2"/>
      <c r="K38" s="2"/>
      <c r="L38" s="2"/>
      <c r="M38" s="2"/>
      <c r="O38" s="20">
        <f t="shared" si="1"/>
        <v>47.857534246575341</v>
      </c>
      <c r="P38"/>
      <c r="Q38" s="24">
        <v>34</v>
      </c>
      <c r="R38" s="3" t="s">
        <v>168</v>
      </c>
    </row>
    <row r="39" spans="1:18" x14ac:dyDescent="0.25">
      <c r="A39" s="2">
        <v>35</v>
      </c>
      <c r="B39" s="50" t="s">
        <v>59</v>
      </c>
      <c r="C39" s="51">
        <v>34304</v>
      </c>
      <c r="D39" s="51" t="s">
        <v>290</v>
      </c>
      <c r="E39" s="51" t="s">
        <v>293</v>
      </c>
      <c r="F39" s="17">
        <v>1900</v>
      </c>
      <c r="G39" s="2">
        <v>1500</v>
      </c>
      <c r="H39" s="2"/>
      <c r="I39" s="2"/>
      <c r="J39" s="2"/>
      <c r="K39" s="2">
        <v>1000</v>
      </c>
      <c r="L39" s="38">
        <f>5*$L$3</f>
        <v>1750</v>
      </c>
      <c r="M39" s="2">
        <v>20</v>
      </c>
      <c r="O39" s="20">
        <f t="shared" si="1"/>
        <v>31.4986301369863</v>
      </c>
      <c r="P39"/>
      <c r="Q39" s="24">
        <v>35</v>
      </c>
      <c r="R39" s="3" t="s">
        <v>169</v>
      </c>
    </row>
    <row r="40" spans="1:18" x14ac:dyDescent="0.25">
      <c r="A40" s="2">
        <v>36</v>
      </c>
      <c r="B40" s="3" t="s">
        <v>103</v>
      </c>
      <c r="C40" s="10">
        <v>34049</v>
      </c>
      <c r="D40" s="10" t="s">
        <v>290</v>
      </c>
      <c r="E40" s="10"/>
      <c r="F40" s="17">
        <v>1900</v>
      </c>
      <c r="G40" s="2">
        <v>1500</v>
      </c>
      <c r="H40" s="2"/>
      <c r="I40" s="2"/>
      <c r="J40" s="2"/>
      <c r="K40" s="2"/>
      <c r="L40" s="2"/>
      <c r="M40" s="2"/>
      <c r="O40" s="20">
        <f t="shared" si="1"/>
        <v>32.197260273972603</v>
      </c>
      <c r="P40"/>
      <c r="Q40" s="24">
        <v>36</v>
      </c>
      <c r="R40" s="3" t="s">
        <v>170</v>
      </c>
    </row>
    <row r="41" spans="1:18" x14ac:dyDescent="0.25">
      <c r="A41" s="2">
        <v>37</v>
      </c>
      <c r="B41" s="3" t="s">
        <v>104</v>
      </c>
      <c r="C41" s="10">
        <v>28668</v>
      </c>
      <c r="D41" s="10" t="s">
        <v>284</v>
      </c>
      <c r="E41" s="10"/>
      <c r="F41" s="17">
        <v>1900</v>
      </c>
      <c r="G41" s="2"/>
      <c r="H41" s="2"/>
      <c r="I41" s="2">
        <v>1000</v>
      </c>
      <c r="J41" s="2"/>
      <c r="K41" s="2"/>
      <c r="L41" s="2"/>
      <c r="M41" s="2"/>
      <c r="O41" s="20">
        <f t="shared" si="1"/>
        <v>46.939726027397263</v>
      </c>
      <c r="P41"/>
      <c r="Q41" s="24">
        <v>37</v>
      </c>
      <c r="R41" s="3" t="s">
        <v>171</v>
      </c>
    </row>
    <row r="42" spans="1:18" x14ac:dyDescent="0.25">
      <c r="A42" s="2">
        <v>38</v>
      </c>
      <c r="B42" s="3" t="s">
        <v>62</v>
      </c>
      <c r="C42" s="10">
        <v>30925</v>
      </c>
      <c r="D42" s="10" t="s">
        <v>286</v>
      </c>
      <c r="E42" s="10"/>
      <c r="F42" s="17">
        <v>1900</v>
      </c>
      <c r="G42" s="2"/>
      <c r="H42" s="2"/>
      <c r="I42" s="2">
        <v>1000</v>
      </c>
      <c r="J42" s="2"/>
      <c r="K42" s="2" t="s">
        <v>294</v>
      </c>
      <c r="L42" s="2"/>
      <c r="M42" s="2">
        <v>30</v>
      </c>
      <c r="O42" s="20">
        <f t="shared" si="1"/>
        <v>40.756164383561647</v>
      </c>
      <c r="P42"/>
      <c r="Q42" s="24">
        <v>38</v>
      </c>
      <c r="R42" s="3" t="s">
        <v>172</v>
      </c>
    </row>
    <row r="43" spans="1:18" x14ac:dyDescent="0.25">
      <c r="A43" s="2">
        <v>39</v>
      </c>
      <c r="B43" s="3" t="s">
        <v>49</v>
      </c>
      <c r="C43" s="10">
        <v>29964</v>
      </c>
      <c r="D43" s="10" t="s">
        <v>285</v>
      </c>
      <c r="E43" s="10"/>
      <c r="F43" s="17">
        <v>1900</v>
      </c>
      <c r="G43" s="2"/>
      <c r="H43" s="2"/>
      <c r="I43" s="2"/>
      <c r="J43" s="2"/>
      <c r="K43" s="2"/>
      <c r="L43" s="2"/>
      <c r="M43" s="2"/>
      <c r="O43" s="20">
        <f t="shared" si="1"/>
        <v>43.389041095890413</v>
      </c>
      <c r="P43"/>
      <c r="Q43" s="24">
        <v>39</v>
      </c>
      <c r="R43" s="3" t="s">
        <v>173</v>
      </c>
    </row>
    <row r="44" spans="1:18" x14ac:dyDescent="0.25">
      <c r="A44" s="2">
        <v>40</v>
      </c>
      <c r="B44" s="3" t="s">
        <v>48</v>
      </c>
      <c r="C44" s="10">
        <v>31715</v>
      </c>
      <c r="D44" s="10" t="s">
        <v>285</v>
      </c>
      <c r="E44" s="10"/>
      <c r="F44" s="17">
        <v>1900</v>
      </c>
      <c r="G44" s="2"/>
      <c r="H44" s="2"/>
      <c r="I44" s="2"/>
      <c r="J44" s="2"/>
      <c r="K44" s="2"/>
      <c r="L44" s="2"/>
      <c r="M44" s="2"/>
      <c r="O44" s="20">
        <f t="shared" si="1"/>
        <v>38.591780821917808</v>
      </c>
      <c r="P44"/>
      <c r="Q44" s="24">
        <v>40</v>
      </c>
      <c r="R44" s="3" t="s">
        <v>174</v>
      </c>
    </row>
    <row r="45" spans="1:18" x14ac:dyDescent="0.25">
      <c r="A45" s="2">
        <v>41</v>
      </c>
      <c r="B45" s="3" t="s">
        <v>55</v>
      </c>
      <c r="C45" s="10">
        <v>29370</v>
      </c>
      <c r="D45" s="10" t="s">
        <v>289</v>
      </c>
      <c r="E45" s="10"/>
      <c r="F45" s="17">
        <v>1900</v>
      </c>
      <c r="G45" s="2"/>
      <c r="H45" s="2"/>
      <c r="I45" s="2">
        <v>1000</v>
      </c>
      <c r="J45" s="2"/>
      <c r="K45" s="2"/>
      <c r="L45" s="2"/>
      <c r="M45" s="2"/>
      <c r="O45" s="20">
        <f t="shared" si="1"/>
        <v>45.016438356164386</v>
      </c>
      <c r="P45"/>
      <c r="Q45" s="24">
        <v>41</v>
      </c>
      <c r="R45" s="3" t="s">
        <v>177</v>
      </c>
    </row>
    <row r="46" spans="1:18" x14ac:dyDescent="0.25">
      <c r="A46" s="2">
        <v>42</v>
      </c>
      <c r="B46" s="3" t="s">
        <v>106</v>
      </c>
      <c r="C46" s="10">
        <v>40777</v>
      </c>
      <c r="D46" s="10" t="s">
        <v>289</v>
      </c>
      <c r="E46" s="10"/>
      <c r="F46" s="18"/>
      <c r="G46" s="2"/>
      <c r="H46" s="2"/>
      <c r="I46" s="2"/>
      <c r="J46" s="2"/>
      <c r="K46" s="2"/>
      <c r="L46" s="2"/>
      <c r="M46" s="2"/>
      <c r="O46" s="20">
        <f t="shared" si="1"/>
        <v>13.764383561643836</v>
      </c>
      <c r="P46"/>
      <c r="Q46" s="24">
        <v>42</v>
      </c>
      <c r="R46" s="3" t="s">
        <v>175</v>
      </c>
    </row>
    <row r="47" spans="1:18" x14ac:dyDescent="0.25">
      <c r="A47" s="2">
        <v>43</v>
      </c>
      <c r="B47" s="3" t="s">
        <v>108</v>
      </c>
      <c r="C47" s="10">
        <v>29097</v>
      </c>
      <c r="D47" s="10" t="s">
        <v>285</v>
      </c>
      <c r="E47" s="10"/>
      <c r="F47" s="17">
        <v>1900</v>
      </c>
      <c r="G47" s="2"/>
      <c r="H47" s="2"/>
      <c r="I47" s="2"/>
      <c r="J47" s="2"/>
      <c r="K47" s="2"/>
      <c r="L47" s="2"/>
      <c r="M47" s="2"/>
      <c r="O47" s="20">
        <f t="shared" si="1"/>
        <v>45.764383561643832</v>
      </c>
      <c r="P47"/>
      <c r="Q47" s="24">
        <v>43</v>
      </c>
      <c r="R47" s="3" t="s">
        <v>189</v>
      </c>
    </row>
    <row r="48" spans="1:18" x14ac:dyDescent="0.25">
      <c r="A48" s="2">
        <v>44</v>
      </c>
      <c r="B48" s="3" t="s">
        <v>107</v>
      </c>
      <c r="C48" s="10">
        <v>42688</v>
      </c>
      <c r="D48" s="10" t="s">
        <v>285</v>
      </c>
      <c r="E48" s="10"/>
      <c r="F48" s="18"/>
      <c r="G48" s="2"/>
      <c r="H48" s="2"/>
      <c r="I48" s="2"/>
      <c r="J48" s="2"/>
      <c r="K48" s="2"/>
      <c r="L48" s="2"/>
      <c r="M48" s="2"/>
      <c r="O48" s="20">
        <f t="shared" si="1"/>
        <v>8.5287671232876718</v>
      </c>
      <c r="P48"/>
      <c r="Q48" s="24">
        <v>44</v>
      </c>
      <c r="R48" s="3" t="s">
        <v>192</v>
      </c>
    </row>
    <row r="49" spans="1:18" x14ac:dyDescent="0.25">
      <c r="A49" s="2">
        <v>45</v>
      </c>
      <c r="B49" s="3" t="s">
        <v>111</v>
      </c>
      <c r="C49" s="10">
        <v>40129</v>
      </c>
      <c r="D49" s="10" t="s">
        <v>288</v>
      </c>
      <c r="E49" s="10"/>
      <c r="F49" s="17">
        <v>1900</v>
      </c>
      <c r="G49" s="2"/>
      <c r="H49" s="2"/>
      <c r="I49" s="2">
        <v>1000</v>
      </c>
      <c r="J49" s="2"/>
      <c r="K49" s="2"/>
      <c r="L49" s="2"/>
      <c r="M49" s="2"/>
      <c r="O49" s="20">
        <f t="shared" si="1"/>
        <v>15.53972602739726</v>
      </c>
      <c r="P49"/>
      <c r="Q49" s="24">
        <v>45</v>
      </c>
      <c r="R49" s="3" t="s">
        <v>193</v>
      </c>
    </row>
    <row r="50" spans="1:18" x14ac:dyDescent="0.25">
      <c r="A50" s="2">
        <v>46</v>
      </c>
      <c r="B50" s="3" t="s">
        <v>112</v>
      </c>
      <c r="C50" s="10">
        <v>41124</v>
      </c>
      <c r="D50" s="10" t="s">
        <v>288</v>
      </c>
      <c r="E50" s="10"/>
      <c r="F50" s="18"/>
      <c r="G50" s="2"/>
      <c r="H50" s="2"/>
      <c r="I50" s="2">
        <v>1000</v>
      </c>
      <c r="J50" s="2"/>
      <c r="K50" s="2"/>
      <c r="L50" s="2"/>
      <c r="M50" s="2"/>
      <c r="O50" s="20">
        <f t="shared" si="1"/>
        <v>12.813698630136987</v>
      </c>
      <c r="P50"/>
      <c r="Q50" s="24">
        <v>46</v>
      </c>
      <c r="R50" s="3" t="s">
        <v>195</v>
      </c>
    </row>
    <row r="51" spans="1:18" x14ac:dyDescent="0.25">
      <c r="A51" s="2">
        <v>47</v>
      </c>
      <c r="B51" s="3" t="s">
        <v>50</v>
      </c>
      <c r="C51" s="10">
        <v>29501</v>
      </c>
      <c r="D51" s="10" t="s">
        <v>289</v>
      </c>
      <c r="E51" s="10"/>
      <c r="F51" s="17">
        <v>1900</v>
      </c>
      <c r="G51" s="2"/>
      <c r="H51" s="2"/>
      <c r="I51" s="2">
        <v>1000</v>
      </c>
      <c r="J51" s="2"/>
      <c r="K51" s="2"/>
      <c r="L51" s="2"/>
      <c r="M51" s="2"/>
      <c r="O51" s="20">
        <f t="shared" si="1"/>
        <v>44.657534246575345</v>
      </c>
      <c r="P51"/>
      <c r="Q51" s="24">
        <v>47</v>
      </c>
      <c r="R51" s="3" t="s">
        <v>209</v>
      </c>
    </row>
    <row r="52" spans="1:18" x14ac:dyDescent="0.25">
      <c r="A52" s="2">
        <v>48</v>
      </c>
      <c r="B52" s="11" t="s">
        <v>110</v>
      </c>
      <c r="C52" s="10">
        <v>42179</v>
      </c>
      <c r="D52" s="10" t="s">
        <v>289</v>
      </c>
      <c r="E52" s="10"/>
      <c r="F52" s="18"/>
      <c r="G52" s="2"/>
      <c r="H52" s="2"/>
      <c r="I52" s="2"/>
      <c r="J52" s="2"/>
      <c r="K52" s="2"/>
      <c r="L52" s="2"/>
      <c r="M52" s="2"/>
      <c r="O52" s="20">
        <f t="shared" si="1"/>
        <v>9.9232876712328775</v>
      </c>
      <c r="P52"/>
      <c r="Q52" s="24">
        <v>48</v>
      </c>
      <c r="R52" s="3" t="s">
        <v>197</v>
      </c>
    </row>
    <row r="53" spans="1:18" x14ac:dyDescent="0.25">
      <c r="A53" s="2">
        <v>49</v>
      </c>
      <c r="B53" s="3" t="s">
        <v>27</v>
      </c>
      <c r="C53" s="10">
        <v>29432</v>
      </c>
      <c r="D53" s="10" t="s">
        <v>287</v>
      </c>
      <c r="E53" s="10"/>
      <c r="F53" s="17">
        <v>1900</v>
      </c>
      <c r="G53" s="2"/>
      <c r="H53" s="2"/>
      <c r="I53" s="2"/>
      <c r="J53" s="2"/>
      <c r="K53" s="2"/>
      <c r="L53" s="2"/>
      <c r="M53" s="2"/>
      <c r="O53" s="20">
        <f t="shared" si="1"/>
        <v>44.846575342465755</v>
      </c>
      <c r="P53"/>
      <c r="Q53" s="24">
        <v>49</v>
      </c>
      <c r="R53" s="3" t="s">
        <v>199</v>
      </c>
    </row>
    <row r="54" spans="1:18" x14ac:dyDescent="0.25">
      <c r="A54" s="2">
        <v>50</v>
      </c>
      <c r="B54" s="3" t="s">
        <v>114</v>
      </c>
      <c r="C54" s="10">
        <v>38954</v>
      </c>
      <c r="D54" s="10" t="s">
        <v>289</v>
      </c>
      <c r="E54" s="10"/>
      <c r="F54" s="17">
        <v>1900</v>
      </c>
      <c r="G54" s="2"/>
      <c r="H54" s="2"/>
      <c r="I54" s="2">
        <v>1000</v>
      </c>
      <c r="J54" s="2"/>
      <c r="K54" s="2"/>
      <c r="L54" s="2"/>
      <c r="M54" s="2"/>
      <c r="O54" s="20">
        <f t="shared" si="1"/>
        <v>18.758904109589039</v>
      </c>
      <c r="P54"/>
      <c r="Q54" s="24">
        <v>50</v>
      </c>
      <c r="R54" s="3" t="s">
        <v>200</v>
      </c>
    </row>
    <row r="55" spans="1:18" x14ac:dyDescent="0.25">
      <c r="A55" s="2">
        <v>51</v>
      </c>
      <c r="B55" s="3" t="s">
        <v>120</v>
      </c>
      <c r="C55" s="10">
        <v>31487</v>
      </c>
      <c r="D55" s="10" t="s">
        <v>285</v>
      </c>
      <c r="E55" s="10"/>
      <c r="F55" s="17">
        <v>1900</v>
      </c>
      <c r="G55" s="2"/>
      <c r="H55" s="2"/>
      <c r="I55" s="2"/>
      <c r="J55" s="2"/>
      <c r="K55" s="2"/>
      <c r="L55" s="2"/>
      <c r="M55" s="2"/>
      <c r="O55" s="20">
        <f t="shared" si="1"/>
        <v>39.216438356164382</v>
      </c>
      <c r="P55"/>
      <c r="Q55" s="24">
        <v>51</v>
      </c>
      <c r="R55" s="3" t="s">
        <v>203</v>
      </c>
    </row>
    <row r="56" spans="1:18" x14ac:dyDescent="0.25">
      <c r="A56" s="2">
        <v>52</v>
      </c>
      <c r="B56" s="3" t="s">
        <v>121</v>
      </c>
      <c r="C56" s="10">
        <v>30563</v>
      </c>
      <c r="D56" s="10" t="s">
        <v>289</v>
      </c>
      <c r="E56" s="10"/>
      <c r="F56" s="17">
        <v>1900</v>
      </c>
      <c r="G56" s="2"/>
      <c r="H56" s="2"/>
      <c r="I56" s="2"/>
      <c r="J56" s="2"/>
      <c r="K56" s="2"/>
      <c r="L56" s="2"/>
      <c r="M56" s="2"/>
      <c r="O56" s="20">
        <f t="shared" si="1"/>
        <v>41.747945205479454</v>
      </c>
      <c r="P56"/>
      <c r="Q56" s="24">
        <v>52</v>
      </c>
      <c r="R56" s="3" t="s">
        <v>208</v>
      </c>
    </row>
    <row r="57" spans="1:18" x14ac:dyDescent="0.25">
      <c r="A57" s="2">
        <v>53</v>
      </c>
      <c r="B57" s="3" t="s">
        <v>138</v>
      </c>
      <c r="C57" s="10">
        <v>39986</v>
      </c>
      <c r="D57" s="10" t="s">
        <v>285</v>
      </c>
      <c r="E57" s="10"/>
      <c r="F57" s="17">
        <v>1900</v>
      </c>
      <c r="G57" s="2"/>
      <c r="H57" s="2"/>
      <c r="I57" s="2"/>
      <c r="J57" s="2"/>
      <c r="K57" s="2"/>
      <c r="L57" s="2"/>
      <c r="M57" s="2"/>
      <c r="O57" s="20">
        <f t="shared" si="1"/>
        <v>15.931506849315069</v>
      </c>
      <c r="P57"/>
      <c r="Q57" s="24">
        <v>53</v>
      </c>
      <c r="R57" s="3" t="s">
        <v>212</v>
      </c>
    </row>
    <row r="58" spans="1:18" x14ac:dyDescent="0.25">
      <c r="A58" s="2">
        <v>54</v>
      </c>
      <c r="B58" s="3" t="s">
        <v>139</v>
      </c>
      <c r="C58" s="10">
        <v>27595</v>
      </c>
      <c r="D58" s="10" t="s">
        <v>285</v>
      </c>
      <c r="E58" s="10"/>
      <c r="F58" s="17">
        <v>1900</v>
      </c>
      <c r="G58" s="2"/>
      <c r="H58" s="2"/>
      <c r="I58" s="2"/>
      <c r="J58" s="2"/>
      <c r="K58" s="2"/>
      <c r="L58" s="2"/>
      <c r="M58" s="2"/>
      <c r="O58" s="20">
        <f t="shared" si="1"/>
        <v>49.87945205479452</v>
      </c>
      <c r="P58"/>
      <c r="Q58" s="24">
        <v>54</v>
      </c>
      <c r="R58" s="3" t="s">
        <v>241</v>
      </c>
    </row>
    <row r="59" spans="1:18" x14ac:dyDescent="0.25">
      <c r="A59" s="2">
        <v>55</v>
      </c>
      <c r="B59" s="3" t="s">
        <v>54</v>
      </c>
      <c r="C59" s="10">
        <v>29584</v>
      </c>
      <c r="D59" s="10" t="s">
        <v>289</v>
      </c>
      <c r="E59" s="10"/>
      <c r="F59" s="17">
        <v>1900</v>
      </c>
      <c r="G59" s="2"/>
      <c r="H59" s="2"/>
      <c r="I59" s="2">
        <v>1000</v>
      </c>
      <c r="J59" s="2"/>
      <c r="K59" s="2"/>
      <c r="L59" s="2"/>
      <c r="M59" s="2"/>
      <c r="O59" s="20">
        <f t="shared" si="1"/>
        <v>44.43013698630137</v>
      </c>
      <c r="P59"/>
      <c r="Q59" s="24">
        <v>55</v>
      </c>
      <c r="R59" s="3" t="s">
        <v>250</v>
      </c>
    </row>
    <row r="60" spans="1:18" x14ac:dyDescent="0.25">
      <c r="A60" s="2">
        <v>56</v>
      </c>
      <c r="B60" s="11" t="s">
        <v>115</v>
      </c>
      <c r="C60" s="10">
        <v>41395</v>
      </c>
      <c r="D60" s="10" t="s">
        <v>289</v>
      </c>
      <c r="E60" s="10"/>
      <c r="F60" s="18"/>
      <c r="G60" s="2"/>
      <c r="H60" s="2"/>
      <c r="I60" s="2">
        <v>1000</v>
      </c>
      <c r="J60" s="2"/>
      <c r="K60" s="2"/>
      <c r="L60" s="2"/>
      <c r="M60" s="2"/>
      <c r="O60" s="20">
        <f t="shared" si="1"/>
        <v>12.07123287671233</v>
      </c>
      <c r="P60"/>
      <c r="Q60" s="24">
        <v>56</v>
      </c>
      <c r="R60" s="3" t="s">
        <v>251</v>
      </c>
    </row>
    <row r="61" spans="1:18" x14ac:dyDescent="0.25">
      <c r="A61" s="2">
        <v>57</v>
      </c>
      <c r="B61" s="11" t="s">
        <v>116</v>
      </c>
      <c r="C61" s="10">
        <v>41933</v>
      </c>
      <c r="D61" s="10" t="s">
        <v>288</v>
      </c>
      <c r="E61" s="10"/>
      <c r="F61" s="18"/>
      <c r="G61" s="2"/>
      <c r="H61" s="2"/>
      <c r="I61" s="2">
        <v>1000</v>
      </c>
      <c r="J61" s="2"/>
      <c r="K61" s="2"/>
      <c r="L61" s="2"/>
      <c r="M61" s="2"/>
      <c r="O61" s="20">
        <f t="shared" si="1"/>
        <v>10.597260273972603</v>
      </c>
      <c r="P61"/>
      <c r="Q61" s="24">
        <v>57</v>
      </c>
      <c r="R61" s="39" t="s">
        <v>252</v>
      </c>
    </row>
    <row r="62" spans="1:18" x14ac:dyDescent="0.25">
      <c r="A62" s="2">
        <v>58</v>
      </c>
      <c r="B62" s="3" t="s">
        <v>40</v>
      </c>
      <c r="C62" s="10">
        <v>29772</v>
      </c>
      <c r="D62" s="10" t="s">
        <v>288</v>
      </c>
      <c r="E62" s="10"/>
      <c r="F62" s="17">
        <v>1900</v>
      </c>
      <c r="G62" s="2"/>
      <c r="H62" s="2"/>
      <c r="I62" s="2"/>
      <c r="J62" s="2"/>
      <c r="K62" s="2"/>
      <c r="L62" s="2"/>
      <c r="M62" s="2"/>
      <c r="O62" s="20">
        <f t="shared" si="1"/>
        <v>43.915068493150685</v>
      </c>
      <c r="P62"/>
      <c r="Q62" s="24">
        <v>58</v>
      </c>
      <c r="R62" s="39" t="s">
        <v>252</v>
      </c>
    </row>
    <row r="63" spans="1:18" x14ac:dyDescent="0.25">
      <c r="A63" s="2">
        <v>59</v>
      </c>
      <c r="B63" s="3" t="s">
        <v>42</v>
      </c>
      <c r="C63" s="10">
        <v>30083</v>
      </c>
      <c r="D63" s="10" t="s">
        <v>288</v>
      </c>
      <c r="E63" s="10"/>
      <c r="F63" s="17">
        <v>1900</v>
      </c>
      <c r="G63" s="2"/>
      <c r="H63" s="2"/>
      <c r="I63" s="2"/>
      <c r="J63" s="2"/>
      <c r="K63" s="2"/>
      <c r="L63" s="2"/>
      <c r="M63" s="2"/>
      <c r="O63" s="20">
        <f t="shared" si="1"/>
        <v>43.063013698630137</v>
      </c>
      <c r="P63"/>
      <c r="Q63" s="24">
        <v>59</v>
      </c>
      <c r="R63" s="3" t="s">
        <v>260</v>
      </c>
    </row>
    <row r="64" spans="1:18" x14ac:dyDescent="0.25">
      <c r="A64" s="2">
        <v>60</v>
      </c>
      <c r="B64" s="11" t="s">
        <v>117</v>
      </c>
      <c r="C64" s="10">
        <v>41965</v>
      </c>
      <c r="D64" s="10" t="s">
        <v>288</v>
      </c>
      <c r="E64" s="10"/>
      <c r="F64" s="18"/>
      <c r="G64" s="2"/>
      <c r="H64" s="2"/>
      <c r="I64" s="2">
        <v>1000</v>
      </c>
      <c r="J64" s="2"/>
      <c r="K64" s="2"/>
      <c r="L64" s="2"/>
      <c r="M64" s="2"/>
      <c r="O64" s="20">
        <f t="shared" si="1"/>
        <v>10.509589041095891</v>
      </c>
      <c r="P64"/>
      <c r="Q64" s="24">
        <v>60</v>
      </c>
      <c r="R64" s="3" t="s">
        <v>264</v>
      </c>
    </row>
    <row r="65" spans="1:19" x14ac:dyDescent="0.25">
      <c r="A65" s="2">
        <v>61</v>
      </c>
      <c r="B65" s="3" t="s">
        <v>113</v>
      </c>
      <c r="C65" s="10">
        <v>23967</v>
      </c>
      <c r="D65" s="10" t="s">
        <v>284</v>
      </c>
      <c r="E65" s="10"/>
      <c r="F65" s="17">
        <v>1900</v>
      </c>
      <c r="G65" s="2"/>
      <c r="H65" s="2"/>
      <c r="I65" s="2"/>
      <c r="J65" s="2"/>
      <c r="K65" s="2"/>
      <c r="L65" s="2"/>
      <c r="M65" s="2"/>
      <c r="O65" s="20">
        <f t="shared" si="1"/>
        <v>59.819178082191783</v>
      </c>
      <c r="P65"/>
    </row>
    <row r="66" spans="1:19" x14ac:dyDescent="0.25">
      <c r="A66" s="2">
        <v>62</v>
      </c>
      <c r="B66" s="3" t="s">
        <v>75</v>
      </c>
      <c r="C66" s="10">
        <v>30202</v>
      </c>
      <c r="D66" s="10" t="s">
        <v>284</v>
      </c>
      <c r="E66" s="10"/>
      <c r="F66" s="17">
        <v>1900</v>
      </c>
      <c r="G66" s="2"/>
      <c r="H66" s="2"/>
      <c r="I66" s="2">
        <v>1000</v>
      </c>
      <c r="J66" s="2"/>
      <c r="K66" s="2"/>
      <c r="L66" s="2"/>
      <c r="M66" s="2"/>
      <c r="O66" s="20">
        <f t="shared" si="1"/>
        <v>42.736986301369861</v>
      </c>
      <c r="P66"/>
      <c r="Q66" s="29" t="s">
        <v>301</v>
      </c>
      <c r="R66" s="33" t="s">
        <v>302</v>
      </c>
    </row>
    <row r="67" spans="1:19" x14ac:dyDescent="0.25">
      <c r="A67" s="2">
        <v>63</v>
      </c>
      <c r="B67" s="3" t="s">
        <v>119</v>
      </c>
      <c r="C67" s="10">
        <v>40425</v>
      </c>
      <c r="D67" s="10" t="s">
        <v>284</v>
      </c>
      <c r="E67" s="10"/>
      <c r="F67" s="18"/>
      <c r="G67" s="2"/>
      <c r="H67" s="2"/>
      <c r="I67" s="2">
        <v>1000</v>
      </c>
      <c r="J67" s="2"/>
      <c r="K67" s="2"/>
      <c r="L67" s="2"/>
      <c r="M67" s="2"/>
      <c r="O67" s="23">
        <f t="shared" si="1"/>
        <v>14.728767123287671</v>
      </c>
      <c r="P67"/>
      <c r="Q67" s="24">
        <v>61</v>
      </c>
      <c r="R67" s="3" t="s">
        <v>275</v>
      </c>
    </row>
    <row r="68" spans="1:19" x14ac:dyDescent="0.25">
      <c r="A68" s="2">
        <v>64</v>
      </c>
      <c r="B68" s="13" t="s">
        <v>142</v>
      </c>
      <c r="C68" s="10">
        <v>40273</v>
      </c>
      <c r="D68" s="10" t="s">
        <v>284</v>
      </c>
      <c r="E68" s="10"/>
      <c r="F68" s="17">
        <v>1900</v>
      </c>
      <c r="G68" s="2"/>
      <c r="H68" s="2"/>
      <c r="I68" s="2">
        <v>1000</v>
      </c>
      <c r="J68" s="2"/>
      <c r="K68" s="2"/>
      <c r="L68" s="2"/>
      <c r="M68" s="2"/>
      <c r="O68" s="20">
        <f t="shared" si="1"/>
        <v>15.145205479452056</v>
      </c>
      <c r="P68"/>
      <c r="Q68" s="24">
        <v>62</v>
      </c>
      <c r="R68" s="3" t="s">
        <v>277</v>
      </c>
    </row>
    <row r="69" spans="1:19" x14ac:dyDescent="0.25">
      <c r="A69" s="2">
        <v>65</v>
      </c>
      <c r="B69" s="3" t="s">
        <v>143</v>
      </c>
      <c r="C69" s="10">
        <v>40402</v>
      </c>
      <c r="D69" s="10" t="s">
        <v>284</v>
      </c>
      <c r="E69" s="10"/>
      <c r="F69" s="18"/>
      <c r="G69" s="2"/>
      <c r="H69" s="2"/>
      <c r="I69" s="2">
        <v>1000</v>
      </c>
      <c r="J69" s="2"/>
      <c r="K69" s="2"/>
      <c r="L69" s="2"/>
      <c r="M69" s="2"/>
      <c r="O69" s="23">
        <f t="shared" ref="O69:O87" si="2">($O$3-C69)/365</f>
        <v>14.791780821917808</v>
      </c>
      <c r="P69"/>
      <c r="Q69" s="24">
        <v>63</v>
      </c>
      <c r="R69" s="3" t="s">
        <v>276</v>
      </c>
    </row>
    <row r="70" spans="1:19" x14ac:dyDescent="0.25">
      <c r="A70" s="2">
        <v>66</v>
      </c>
      <c r="B70" s="13" t="s">
        <v>144</v>
      </c>
      <c r="C70" s="10">
        <v>40210</v>
      </c>
      <c r="D70" s="10" t="s">
        <v>284</v>
      </c>
      <c r="E70" s="10"/>
      <c r="F70" s="17">
        <v>1900</v>
      </c>
      <c r="G70" s="2"/>
      <c r="H70" s="2"/>
      <c r="I70" s="2">
        <v>1000</v>
      </c>
      <c r="J70" s="2"/>
      <c r="K70" s="2"/>
      <c r="L70" s="2"/>
      <c r="M70" s="2"/>
      <c r="O70" s="20">
        <f t="shared" si="2"/>
        <v>15.317808219178081</v>
      </c>
      <c r="P70"/>
      <c r="Q70" s="24">
        <v>64</v>
      </c>
      <c r="R70" s="53" t="s">
        <v>311</v>
      </c>
    </row>
    <row r="71" spans="1:19" x14ac:dyDescent="0.25">
      <c r="A71" s="2">
        <v>67</v>
      </c>
      <c r="B71" s="3" t="s">
        <v>18</v>
      </c>
      <c r="C71" s="10">
        <v>37404</v>
      </c>
      <c r="D71" s="10" t="s">
        <v>283</v>
      </c>
      <c r="E71" s="10"/>
      <c r="F71" s="17">
        <v>1900</v>
      </c>
      <c r="G71" s="2"/>
      <c r="H71" s="2"/>
      <c r="I71" s="2"/>
      <c r="J71" s="2"/>
      <c r="K71" s="2"/>
      <c r="L71" s="2"/>
      <c r="M71" s="2"/>
      <c r="O71" s="20">
        <f t="shared" si="2"/>
        <v>23.005479452054793</v>
      </c>
      <c r="P71"/>
      <c r="Q71" s="24">
        <v>65</v>
      </c>
      <c r="R71" s="53" t="s">
        <v>312</v>
      </c>
    </row>
    <row r="72" spans="1:19" x14ac:dyDescent="0.25">
      <c r="A72" s="2">
        <v>68</v>
      </c>
      <c r="B72" s="3" t="s">
        <v>145</v>
      </c>
      <c r="C72" s="10">
        <v>37209</v>
      </c>
      <c r="D72" s="10" t="s">
        <v>283</v>
      </c>
      <c r="E72" s="10"/>
      <c r="F72" s="17">
        <v>1900</v>
      </c>
      <c r="G72" s="2"/>
      <c r="H72" s="2"/>
      <c r="I72" s="2"/>
      <c r="J72" s="2"/>
      <c r="K72" s="2"/>
      <c r="L72" s="2"/>
      <c r="M72" s="2"/>
      <c r="O72" s="20">
        <f t="shared" si="2"/>
        <v>23.539726027397261</v>
      </c>
      <c r="P72"/>
      <c r="Q72" s="24">
        <v>66</v>
      </c>
      <c r="R72" s="3" t="s">
        <v>262</v>
      </c>
      <c r="S72" s="36" t="s">
        <v>278</v>
      </c>
    </row>
    <row r="73" spans="1:19" x14ac:dyDescent="0.25">
      <c r="A73" s="2">
        <v>69</v>
      </c>
      <c r="B73" s="50" t="s">
        <v>16</v>
      </c>
      <c r="C73" s="51">
        <v>34859</v>
      </c>
      <c r="D73" s="51" t="s">
        <v>291</v>
      </c>
      <c r="E73" s="51" t="s">
        <v>293</v>
      </c>
      <c r="F73" s="17">
        <v>1900</v>
      </c>
      <c r="G73" s="2"/>
      <c r="H73" s="2"/>
      <c r="I73" s="2"/>
      <c r="J73" s="2"/>
      <c r="K73" s="2"/>
      <c r="L73" s="2"/>
      <c r="M73" s="2"/>
      <c r="O73" s="20">
        <f t="shared" si="2"/>
        <v>29.978082191780821</v>
      </c>
      <c r="P73"/>
      <c r="Q73" s="24">
        <v>67</v>
      </c>
      <c r="R73" s="3" t="s">
        <v>304</v>
      </c>
    </row>
    <row r="74" spans="1:19" x14ac:dyDescent="0.25">
      <c r="A74" s="2">
        <v>70</v>
      </c>
      <c r="B74" s="3" t="s">
        <v>151</v>
      </c>
      <c r="C74" s="10">
        <v>36199</v>
      </c>
      <c r="D74" s="10" t="s">
        <v>285</v>
      </c>
      <c r="E74" s="10"/>
      <c r="F74" s="17">
        <v>1900</v>
      </c>
      <c r="G74" s="2"/>
      <c r="H74" s="2"/>
      <c r="I74" s="2"/>
      <c r="J74" s="2"/>
      <c r="K74" s="2"/>
      <c r="L74" s="2"/>
      <c r="M74" s="2"/>
      <c r="O74" s="20">
        <f t="shared" si="2"/>
        <v>26.306849315068494</v>
      </c>
      <c r="P74"/>
      <c r="Q74" s="24">
        <v>68</v>
      </c>
      <c r="R74" s="3" t="s">
        <v>305</v>
      </c>
    </row>
    <row r="75" spans="1:19" x14ac:dyDescent="0.25">
      <c r="A75" s="2">
        <v>71</v>
      </c>
      <c r="B75" s="3" t="s">
        <v>152</v>
      </c>
      <c r="C75" s="10">
        <v>36344</v>
      </c>
      <c r="D75" s="10" t="s">
        <v>285</v>
      </c>
      <c r="E75" s="10"/>
      <c r="F75" s="17">
        <v>1900</v>
      </c>
      <c r="G75" s="2"/>
      <c r="H75" s="2"/>
      <c r="I75" s="2">
        <v>1000</v>
      </c>
      <c r="J75" s="2"/>
      <c r="K75" s="2"/>
      <c r="L75" s="2"/>
      <c r="M75" s="2"/>
      <c r="O75" s="20">
        <f t="shared" si="2"/>
        <v>25.909589041095892</v>
      </c>
      <c r="P75"/>
      <c r="Q75" s="24">
        <v>69</v>
      </c>
      <c r="R75" s="53" t="s">
        <v>313</v>
      </c>
    </row>
    <row r="76" spans="1:19" x14ac:dyDescent="0.25">
      <c r="A76" s="2">
        <v>72</v>
      </c>
      <c r="B76" s="3" t="s">
        <v>21</v>
      </c>
      <c r="C76" s="10">
        <v>38210</v>
      </c>
      <c r="D76" s="10" t="s">
        <v>283</v>
      </c>
      <c r="E76" s="10"/>
      <c r="F76" s="17">
        <v>1900</v>
      </c>
      <c r="G76" s="2"/>
      <c r="H76" s="2"/>
      <c r="I76" s="2"/>
      <c r="J76" s="2"/>
      <c r="K76" s="2"/>
      <c r="L76" s="2"/>
      <c r="M76" s="2"/>
      <c r="O76" s="20">
        <f t="shared" si="2"/>
        <v>20.797260273972604</v>
      </c>
      <c r="P76"/>
      <c r="Q76" s="24">
        <v>70</v>
      </c>
      <c r="R76" s="53" t="s">
        <v>314</v>
      </c>
    </row>
    <row r="77" spans="1:19" x14ac:dyDescent="0.25">
      <c r="A77" s="2">
        <v>73</v>
      </c>
      <c r="B77" s="3" t="s">
        <v>64</v>
      </c>
      <c r="C77" s="10">
        <v>30119</v>
      </c>
      <c r="D77" s="10" t="s">
        <v>287</v>
      </c>
      <c r="E77" s="10"/>
      <c r="F77" s="17">
        <v>1900</v>
      </c>
      <c r="G77" s="2"/>
      <c r="H77" s="2"/>
      <c r="I77" s="2">
        <v>1000</v>
      </c>
      <c r="J77" s="2"/>
      <c r="K77" s="2"/>
      <c r="L77" s="2"/>
      <c r="M77" s="2"/>
      <c r="O77" s="20">
        <f t="shared" si="2"/>
        <v>42.964383561643835</v>
      </c>
      <c r="P77"/>
      <c r="Q77" s="24">
        <v>71</v>
      </c>
      <c r="R77" s="53" t="s">
        <v>315</v>
      </c>
    </row>
    <row r="78" spans="1:19" x14ac:dyDescent="0.25">
      <c r="A78" s="2">
        <v>74</v>
      </c>
      <c r="B78" s="3" t="s">
        <v>76</v>
      </c>
      <c r="C78" s="10">
        <v>32980</v>
      </c>
      <c r="D78" s="10" t="s">
        <v>287</v>
      </c>
      <c r="E78" s="10"/>
      <c r="F78" s="17">
        <v>1900</v>
      </c>
      <c r="G78" s="2"/>
      <c r="H78" s="2"/>
      <c r="I78" s="2"/>
      <c r="J78" s="2"/>
      <c r="K78" s="2"/>
      <c r="L78" s="2"/>
      <c r="M78" s="2"/>
      <c r="O78" s="20">
        <f t="shared" si="2"/>
        <v>35.126027397260273</v>
      </c>
      <c r="P78"/>
      <c r="Q78" s="24">
        <v>72</v>
      </c>
      <c r="R78" s="3" t="s">
        <v>247</v>
      </c>
    </row>
    <row r="79" spans="1:19" x14ac:dyDescent="0.25">
      <c r="A79" s="2">
        <v>75</v>
      </c>
      <c r="B79" s="3" t="s">
        <v>176</v>
      </c>
      <c r="C79" s="10">
        <v>36019</v>
      </c>
      <c r="D79" s="10" t="s">
        <v>288</v>
      </c>
      <c r="E79" s="10"/>
      <c r="F79" s="17">
        <v>2100</v>
      </c>
      <c r="G79" s="2"/>
      <c r="H79" s="2"/>
      <c r="I79" s="2">
        <v>1000</v>
      </c>
      <c r="J79" s="2"/>
      <c r="K79" s="2"/>
      <c r="L79" s="2"/>
      <c r="M79" s="2"/>
      <c r="O79" s="20">
        <f t="shared" si="2"/>
        <v>26.8</v>
      </c>
      <c r="P79"/>
      <c r="Q79" s="24">
        <v>73</v>
      </c>
      <c r="R79" s="3" t="s">
        <v>247</v>
      </c>
    </row>
    <row r="80" spans="1:19" x14ac:dyDescent="0.25">
      <c r="A80" s="2">
        <v>76</v>
      </c>
      <c r="B80" s="3" t="s">
        <v>39</v>
      </c>
      <c r="C80" s="10">
        <v>33835</v>
      </c>
      <c r="D80" s="10" t="s">
        <v>286</v>
      </c>
      <c r="E80" s="10"/>
      <c r="F80" s="17">
        <v>2100</v>
      </c>
      <c r="G80" s="2"/>
      <c r="H80" s="2"/>
      <c r="I80" s="2">
        <v>1000</v>
      </c>
      <c r="J80" s="2"/>
      <c r="K80" s="2"/>
      <c r="L80" s="2"/>
      <c r="M80" s="2"/>
      <c r="O80" s="20">
        <f t="shared" si="2"/>
        <v>32.783561643835618</v>
      </c>
      <c r="P80"/>
      <c r="Q80" s="24">
        <v>74</v>
      </c>
      <c r="R80" s="3" t="s">
        <v>247</v>
      </c>
    </row>
    <row r="81" spans="1:18" x14ac:dyDescent="0.25">
      <c r="A81" s="2">
        <v>77</v>
      </c>
      <c r="B81" s="3" t="s">
        <v>38</v>
      </c>
      <c r="C81" s="10">
        <v>35492</v>
      </c>
      <c r="D81" s="10" t="s">
        <v>286</v>
      </c>
      <c r="E81" s="10"/>
      <c r="F81" s="17">
        <v>2100</v>
      </c>
      <c r="G81" s="2"/>
      <c r="H81" s="2"/>
      <c r="I81" s="2">
        <v>1000</v>
      </c>
      <c r="J81" s="2"/>
      <c r="K81" s="2"/>
      <c r="L81" s="2"/>
      <c r="M81" s="2"/>
      <c r="O81" s="20">
        <f t="shared" si="2"/>
        <v>28.243835616438357</v>
      </c>
      <c r="P81"/>
      <c r="Q81" s="24">
        <v>75</v>
      </c>
      <c r="R81" s="3" t="s">
        <v>247</v>
      </c>
    </row>
    <row r="82" spans="1:18" x14ac:dyDescent="0.25">
      <c r="A82" s="2">
        <v>78</v>
      </c>
      <c r="B82" s="3" t="s">
        <v>36</v>
      </c>
      <c r="C82" s="10">
        <v>31855</v>
      </c>
      <c r="D82" s="10" t="s">
        <v>286</v>
      </c>
      <c r="E82" s="10"/>
      <c r="F82" s="17">
        <v>2100</v>
      </c>
      <c r="G82" s="2"/>
      <c r="H82" s="2"/>
      <c r="I82" s="2">
        <v>1000</v>
      </c>
      <c r="J82" s="2"/>
      <c r="K82" s="2"/>
      <c r="L82" s="2"/>
      <c r="M82" s="2"/>
      <c r="O82" s="20">
        <f t="shared" si="2"/>
        <v>38.208219178082189</v>
      </c>
      <c r="P82"/>
      <c r="Q82"/>
    </row>
    <row r="83" spans="1:18" x14ac:dyDescent="0.25">
      <c r="A83" s="2">
        <v>79</v>
      </c>
      <c r="B83" s="3" t="s">
        <v>37</v>
      </c>
      <c r="C83" s="10">
        <v>31548</v>
      </c>
      <c r="D83" s="10" t="s">
        <v>286</v>
      </c>
      <c r="E83" s="10"/>
      <c r="F83" s="17">
        <v>2100</v>
      </c>
      <c r="G83" s="2"/>
      <c r="H83" s="2"/>
      <c r="I83" s="2">
        <v>1000</v>
      </c>
      <c r="J83" s="2"/>
      <c r="K83" s="2"/>
      <c r="L83" s="2"/>
      <c r="M83" s="2"/>
      <c r="O83" s="20">
        <f t="shared" si="2"/>
        <v>39.049315068493151</v>
      </c>
      <c r="P83"/>
      <c r="Q83"/>
    </row>
    <row r="84" spans="1:18" x14ac:dyDescent="0.25">
      <c r="A84" s="2">
        <v>80</v>
      </c>
      <c r="B84" s="3" t="s">
        <v>183</v>
      </c>
      <c r="C84" s="10">
        <v>32450</v>
      </c>
      <c r="D84" s="10" t="s">
        <v>290</v>
      </c>
      <c r="E84" s="10"/>
      <c r="F84" s="17">
        <v>2100</v>
      </c>
      <c r="G84" s="2"/>
      <c r="H84" s="2"/>
      <c r="I84" s="2">
        <v>1000</v>
      </c>
      <c r="J84" s="2"/>
      <c r="K84" s="2"/>
      <c r="L84" s="2"/>
      <c r="M84" s="2"/>
      <c r="O84" s="20">
        <f t="shared" si="2"/>
        <v>36.578082191780823</v>
      </c>
      <c r="P84"/>
      <c r="Q84"/>
    </row>
    <row r="85" spans="1:18" x14ac:dyDescent="0.25">
      <c r="A85" s="2">
        <v>81</v>
      </c>
      <c r="B85" s="3" t="s">
        <v>190</v>
      </c>
      <c r="C85" s="10">
        <v>29716</v>
      </c>
      <c r="D85" s="10" t="s">
        <v>283</v>
      </c>
      <c r="E85" s="10"/>
      <c r="F85" s="17">
        <v>2100</v>
      </c>
      <c r="G85" s="2"/>
      <c r="H85" s="2"/>
      <c r="I85" s="2">
        <v>1000</v>
      </c>
      <c r="J85" s="2"/>
      <c r="K85" s="2">
        <v>1000</v>
      </c>
      <c r="L85" s="38">
        <f>5*$L$3</f>
        <v>1750</v>
      </c>
      <c r="M85" s="2">
        <v>30</v>
      </c>
      <c r="O85" s="20">
        <f t="shared" si="2"/>
        <v>44.06849315068493</v>
      </c>
      <c r="P85"/>
      <c r="Q85"/>
    </row>
    <row r="86" spans="1:18" x14ac:dyDescent="0.25">
      <c r="A86" s="2">
        <v>82</v>
      </c>
      <c r="B86" s="3" t="s">
        <v>191</v>
      </c>
      <c r="C86" s="10">
        <v>41327</v>
      </c>
      <c r="D86" s="10" t="s">
        <v>283</v>
      </c>
      <c r="E86" s="10"/>
      <c r="F86" s="18"/>
      <c r="G86" s="2"/>
      <c r="H86" s="2"/>
      <c r="I86" s="2">
        <v>1000</v>
      </c>
      <c r="J86" s="2"/>
      <c r="K86" s="2"/>
      <c r="L86" s="2"/>
      <c r="M86" s="2"/>
      <c r="O86" s="20">
        <f t="shared" si="2"/>
        <v>12.257534246575343</v>
      </c>
      <c r="P86"/>
      <c r="Q86"/>
    </row>
    <row r="87" spans="1:18" x14ac:dyDescent="0.25">
      <c r="A87" s="2">
        <v>83</v>
      </c>
      <c r="B87" s="3" t="s">
        <v>194</v>
      </c>
      <c r="C87" s="10">
        <v>33051</v>
      </c>
      <c r="D87" s="10" t="s">
        <v>290</v>
      </c>
      <c r="E87" s="10"/>
      <c r="F87" s="17">
        <v>2100</v>
      </c>
      <c r="G87" s="2"/>
      <c r="H87" s="2"/>
      <c r="I87" s="2">
        <v>1000</v>
      </c>
      <c r="J87" s="2"/>
      <c r="K87" s="2"/>
      <c r="L87" s="2"/>
      <c r="M87" s="2"/>
      <c r="O87" s="20">
        <f t="shared" si="2"/>
        <v>34.93150684931507</v>
      </c>
      <c r="P87"/>
      <c r="Q87"/>
    </row>
    <row r="88" spans="1:18" x14ac:dyDescent="0.25">
      <c r="A88" s="2">
        <v>84</v>
      </c>
      <c r="B88" s="3" t="s">
        <v>207</v>
      </c>
      <c r="C88" s="10">
        <v>34248</v>
      </c>
      <c r="D88" s="10" t="s">
        <v>283</v>
      </c>
      <c r="E88" s="10"/>
      <c r="F88" s="22"/>
      <c r="G88" s="2"/>
      <c r="H88" s="2"/>
      <c r="I88" s="2">
        <v>1000</v>
      </c>
      <c r="J88" s="2"/>
      <c r="K88" s="2"/>
      <c r="L88" s="2"/>
      <c r="M88" s="2"/>
      <c r="O88" s="20"/>
      <c r="P88"/>
      <c r="Q88"/>
    </row>
    <row r="89" spans="1:18" x14ac:dyDescent="0.25">
      <c r="A89" s="2">
        <v>85</v>
      </c>
      <c r="B89" s="3" t="s">
        <v>198</v>
      </c>
      <c r="C89" s="10">
        <v>29558</v>
      </c>
      <c r="D89" s="10" t="s">
        <v>290</v>
      </c>
      <c r="E89" s="10"/>
      <c r="F89" s="17">
        <v>2100</v>
      </c>
      <c r="G89" s="2"/>
      <c r="H89" s="2"/>
      <c r="I89" s="2">
        <v>1000</v>
      </c>
      <c r="J89" s="2"/>
      <c r="K89" s="2"/>
      <c r="L89" s="2"/>
      <c r="M89" s="2"/>
      <c r="O89" s="20">
        <f t="shared" ref="O89:O139" si="3">($O$3-C89)/365</f>
        <v>44.5013698630137</v>
      </c>
      <c r="P89"/>
      <c r="Q89"/>
    </row>
    <row r="90" spans="1:18" x14ac:dyDescent="0.25">
      <c r="A90" s="2">
        <v>86</v>
      </c>
      <c r="B90" s="3" t="s">
        <v>29</v>
      </c>
      <c r="C90" s="10">
        <v>34106</v>
      </c>
      <c r="D90" s="10" t="s">
        <v>290</v>
      </c>
      <c r="E90" s="10"/>
      <c r="F90" s="17">
        <v>2100</v>
      </c>
      <c r="G90" s="2"/>
      <c r="H90" s="2"/>
      <c r="I90" s="2">
        <v>1000</v>
      </c>
      <c r="J90" s="2"/>
      <c r="K90" s="2">
        <v>1000</v>
      </c>
      <c r="L90" s="38">
        <f>5*$L$3</f>
        <v>1750</v>
      </c>
      <c r="M90" s="2">
        <v>20</v>
      </c>
      <c r="O90" s="20">
        <f t="shared" si="3"/>
        <v>32.041095890410958</v>
      </c>
      <c r="P90"/>
      <c r="Q90"/>
    </row>
    <row r="91" spans="1:18" x14ac:dyDescent="0.25">
      <c r="A91" s="2">
        <v>87</v>
      </c>
      <c r="B91" s="3" t="s">
        <v>202</v>
      </c>
      <c r="C91" s="10">
        <v>38472</v>
      </c>
      <c r="D91" s="10" t="s">
        <v>291</v>
      </c>
      <c r="E91" s="10"/>
      <c r="F91" s="17">
        <v>2400</v>
      </c>
      <c r="G91" s="2"/>
      <c r="H91" s="2"/>
      <c r="I91" s="2">
        <v>1000</v>
      </c>
      <c r="J91" s="2"/>
      <c r="K91" s="2"/>
      <c r="L91" s="2"/>
      <c r="M91" s="2"/>
      <c r="O91" s="20">
        <f t="shared" si="3"/>
        <v>20.079452054794519</v>
      </c>
      <c r="P91"/>
      <c r="Q91"/>
    </row>
    <row r="92" spans="1:18" x14ac:dyDescent="0.25">
      <c r="A92" s="2">
        <v>88</v>
      </c>
      <c r="B92" s="3" t="s">
        <v>204</v>
      </c>
      <c r="C92" s="10">
        <v>40614</v>
      </c>
      <c r="D92" s="10" t="s">
        <v>286</v>
      </c>
      <c r="E92" s="10"/>
      <c r="F92" s="18" t="s">
        <v>297</v>
      </c>
      <c r="G92" s="2"/>
      <c r="H92" s="2"/>
      <c r="I92" s="2"/>
      <c r="J92" s="2"/>
      <c r="K92" s="2"/>
      <c r="L92" s="2"/>
      <c r="M92" s="2"/>
      <c r="O92" s="20">
        <f t="shared" si="3"/>
        <v>14.210958904109589</v>
      </c>
      <c r="P92"/>
      <c r="Q92"/>
    </row>
    <row r="93" spans="1:18" x14ac:dyDescent="0.25">
      <c r="A93" s="2">
        <v>89</v>
      </c>
      <c r="B93" s="3" t="s">
        <v>206</v>
      </c>
      <c r="C93" s="10">
        <v>39432</v>
      </c>
      <c r="D93" s="10" t="s">
        <v>282</v>
      </c>
      <c r="E93" s="10"/>
      <c r="F93" s="17">
        <v>2400</v>
      </c>
      <c r="G93" s="2"/>
      <c r="H93" s="2"/>
      <c r="I93" s="2">
        <v>1000</v>
      </c>
      <c r="J93" s="2"/>
      <c r="K93" s="2"/>
      <c r="L93" s="2"/>
      <c r="M93" s="2"/>
      <c r="O93" s="20">
        <f t="shared" si="3"/>
        <v>17.449315068493149</v>
      </c>
      <c r="P93"/>
      <c r="Q93"/>
    </row>
    <row r="94" spans="1:18" x14ac:dyDescent="0.25">
      <c r="A94" s="2">
        <v>90</v>
      </c>
      <c r="B94" s="3" t="s">
        <v>214</v>
      </c>
      <c r="C94" s="10">
        <v>30318</v>
      </c>
      <c r="D94" s="10" t="s">
        <v>291</v>
      </c>
      <c r="E94" s="10"/>
      <c r="F94" s="17">
        <v>2400</v>
      </c>
      <c r="G94" s="2"/>
      <c r="H94" s="2"/>
      <c r="I94" s="2">
        <v>1000</v>
      </c>
      <c r="J94" s="2"/>
      <c r="K94" s="2"/>
      <c r="L94" s="2"/>
      <c r="M94" s="2"/>
      <c r="O94" s="20">
        <f t="shared" si="3"/>
        <v>42.419178082191777</v>
      </c>
      <c r="P94"/>
      <c r="Q94"/>
    </row>
    <row r="95" spans="1:18" x14ac:dyDescent="0.25">
      <c r="A95" s="2">
        <v>91</v>
      </c>
      <c r="B95" s="3" t="s">
        <v>217</v>
      </c>
      <c r="C95" s="10">
        <v>33904</v>
      </c>
      <c r="D95" s="10" t="s">
        <v>290</v>
      </c>
      <c r="E95" s="10"/>
      <c r="F95" s="17">
        <v>2400</v>
      </c>
      <c r="G95" s="2">
        <v>1500</v>
      </c>
      <c r="H95" s="2"/>
      <c r="I95" s="2"/>
      <c r="J95" s="2"/>
      <c r="K95" s="2"/>
      <c r="L95" s="2"/>
      <c r="M95" s="2"/>
      <c r="O95" s="20">
        <f t="shared" si="3"/>
        <v>32.594520547945208</v>
      </c>
      <c r="P95"/>
      <c r="Q95"/>
    </row>
    <row r="96" spans="1:18" x14ac:dyDescent="0.25">
      <c r="A96" s="2">
        <v>92</v>
      </c>
      <c r="B96" s="35" t="s">
        <v>218</v>
      </c>
      <c r="C96" s="10">
        <v>33451</v>
      </c>
      <c r="D96" s="10" t="s">
        <v>290</v>
      </c>
      <c r="E96" s="10"/>
      <c r="F96" s="17">
        <v>2400</v>
      </c>
      <c r="G96" s="43">
        <v>1500</v>
      </c>
      <c r="H96" s="2"/>
      <c r="I96" s="2"/>
      <c r="J96" s="2"/>
      <c r="K96" s="2"/>
      <c r="L96" s="2"/>
      <c r="M96" s="2"/>
      <c r="O96" s="20">
        <f t="shared" si="3"/>
        <v>33.835616438356162</v>
      </c>
      <c r="P96"/>
      <c r="Q96"/>
    </row>
    <row r="97" spans="1:22" x14ac:dyDescent="0.25">
      <c r="A97" s="2">
        <v>93</v>
      </c>
      <c r="B97" s="3" t="s">
        <v>238</v>
      </c>
      <c r="C97" s="10">
        <v>33856</v>
      </c>
      <c r="D97" s="10" t="s">
        <v>290</v>
      </c>
      <c r="E97" s="10"/>
      <c r="F97" s="17">
        <v>2400</v>
      </c>
      <c r="G97" s="43">
        <v>1500</v>
      </c>
      <c r="H97" s="2"/>
      <c r="I97" s="2"/>
      <c r="J97" s="2"/>
      <c r="K97" s="2"/>
      <c r="L97" s="2"/>
      <c r="M97" s="2"/>
      <c r="O97" s="20">
        <f t="shared" si="3"/>
        <v>32.726027397260275</v>
      </c>
      <c r="P97"/>
      <c r="Q97"/>
    </row>
    <row r="98" spans="1:22" x14ac:dyDescent="0.25">
      <c r="A98" s="2">
        <v>94</v>
      </c>
      <c r="B98" s="3" t="s">
        <v>219</v>
      </c>
      <c r="C98" s="10">
        <v>33787</v>
      </c>
      <c r="D98" s="10" t="s">
        <v>290</v>
      </c>
      <c r="E98" s="10"/>
      <c r="F98" s="17">
        <v>2400</v>
      </c>
      <c r="G98" s="43">
        <v>1500</v>
      </c>
      <c r="H98" s="2"/>
      <c r="I98" s="2"/>
      <c r="J98" s="2"/>
      <c r="K98" s="2"/>
      <c r="L98" s="2"/>
      <c r="M98" s="2"/>
      <c r="O98" s="20">
        <f t="shared" si="3"/>
        <v>32.915068493150685</v>
      </c>
      <c r="P98"/>
      <c r="Q98"/>
    </row>
    <row r="99" spans="1:22" x14ac:dyDescent="0.25">
      <c r="A99" s="2">
        <v>95</v>
      </c>
      <c r="B99" s="3" t="s">
        <v>222</v>
      </c>
      <c r="C99" s="10">
        <v>30586</v>
      </c>
      <c r="D99" s="10" t="s">
        <v>289</v>
      </c>
      <c r="E99" s="10"/>
      <c r="F99" s="17">
        <v>2400</v>
      </c>
      <c r="G99" s="2">
        <v>1500</v>
      </c>
      <c r="H99" s="2"/>
      <c r="I99" s="2"/>
      <c r="J99" s="2"/>
      <c r="K99" s="2"/>
      <c r="L99" s="2"/>
      <c r="M99" s="2"/>
      <c r="O99" s="20">
        <f t="shared" si="3"/>
        <v>41.684931506849317</v>
      </c>
      <c r="P99"/>
      <c r="Q99"/>
    </row>
    <row r="100" spans="1:22" x14ac:dyDescent="0.25">
      <c r="A100" s="2">
        <v>96</v>
      </c>
      <c r="B100" s="3" t="s">
        <v>221</v>
      </c>
      <c r="C100" s="10">
        <v>41256</v>
      </c>
      <c r="D100" s="10" t="s">
        <v>289</v>
      </c>
      <c r="E100" s="10"/>
      <c r="F100" s="18"/>
      <c r="G100" s="2">
        <v>1500</v>
      </c>
      <c r="H100" s="2"/>
      <c r="I100" s="2"/>
      <c r="J100" s="2"/>
      <c r="K100" s="2"/>
      <c r="L100" s="2"/>
      <c r="M100" s="2"/>
      <c r="O100" s="20">
        <f t="shared" si="3"/>
        <v>12.452054794520548</v>
      </c>
      <c r="P100"/>
      <c r="Q100"/>
    </row>
    <row r="101" spans="1:22" x14ac:dyDescent="0.25">
      <c r="A101" s="2">
        <v>97</v>
      </c>
      <c r="B101" s="3" t="s">
        <v>220</v>
      </c>
      <c r="C101" s="10">
        <v>43113</v>
      </c>
      <c r="D101" s="10" t="s">
        <v>289</v>
      </c>
      <c r="E101" s="10"/>
      <c r="F101" s="18"/>
      <c r="G101" s="2">
        <v>1500</v>
      </c>
      <c r="H101" s="2"/>
      <c r="I101" s="2"/>
      <c r="J101" s="2"/>
      <c r="K101" s="2"/>
      <c r="L101" s="2"/>
      <c r="M101" s="2"/>
      <c r="O101" s="20">
        <f t="shared" si="3"/>
        <v>7.3643835616438356</v>
      </c>
      <c r="P101"/>
      <c r="Q101"/>
    </row>
    <row r="102" spans="1:22" x14ac:dyDescent="0.25">
      <c r="A102" s="2">
        <v>98</v>
      </c>
      <c r="B102" s="3" t="s">
        <v>232</v>
      </c>
      <c r="C102" s="10">
        <v>31359</v>
      </c>
      <c r="D102" s="10" t="s">
        <v>291</v>
      </c>
      <c r="E102" s="10"/>
      <c r="F102" s="17" t="s">
        <v>235</v>
      </c>
      <c r="G102" s="17" t="s">
        <v>235</v>
      </c>
      <c r="H102" s="2"/>
      <c r="I102" s="2"/>
      <c r="J102" s="2"/>
      <c r="K102" s="2"/>
      <c r="L102" s="2"/>
      <c r="M102" s="2"/>
      <c r="O102" s="20">
        <f t="shared" si="3"/>
        <v>39.56712328767123</v>
      </c>
      <c r="P102"/>
      <c r="Q102"/>
      <c r="R102" t="s">
        <v>236</v>
      </c>
    </row>
    <row r="103" spans="1:22" x14ac:dyDescent="0.25">
      <c r="A103" s="2">
        <v>99</v>
      </c>
      <c r="B103" s="3" t="s">
        <v>231</v>
      </c>
      <c r="C103" s="10">
        <v>33062</v>
      </c>
      <c r="D103" s="10" t="s">
        <v>291</v>
      </c>
      <c r="E103" s="10"/>
      <c r="F103" s="17" t="s">
        <v>235</v>
      </c>
      <c r="G103" s="17" t="s">
        <v>235</v>
      </c>
      <c r="H103" s="2"/>
      <c r="I103" s="2"/>
      <c r="J103" s="2"/>
      <c r="K103" s="2"/>
      <c r="L103" s="2"/>
      <c r="M103" s="2"/>
      <c r="O103" s="20">
        <f t="shared" si="3"/>
        <v>34.901369863013699</v>
      </c>
      <c r="P103"/>
      <c r="Q103"/>
      <c r="R103" t="s">
        <v>236</v>
      </c>
    </row>
    <row r="104" spans="1:22" x14ac:dyDescent="0.25">
      <c r="A104" s="2">
        <v>100</v>
      </c>
      <c r="B104" s="3" t="s">
        <v>240</v>
      </c>
      <c r="C104" s="10">
        <v>29911</v>
      </c>
      <c r="D104" s="10" t="s">
        <v>289</v>
      </c>
      <c r="E104" s="10"/>
      <c r="F104" s="17">
        <v>2400</v>
      </c>
      <c r="G104" s="2"/>
      <c r="H104" s="2"/>
      <c r="I104" s="2"/>
      <c r="J104" s="2"/>
      <c r="K104" s="2"/>
      <c r="L104" s="2"/>
      <c r="M104" s="2"/>
      <c r="O104" s="20">
        <f t="shared" si="3"/>
        <v>43.534246575342465</v>
      </c>
      <c r="P104"/>
      <c r="Q104"/>
    </row>
    <row r="105" spans="1:22" x14ac:dyDescent="0.25">
      <c r="A105" s="2">
        <v>101</v>
      </c>
      <c r="B105" s="3" t="s">
        <v>268</v>
      </c>
      <c r="C105" s="10">
        <v>40866</v>
      </c>
      <c r="D105" s="10" t="s">
        <v>289</v>
      </c>
      <c r="E105" s="10"/>
      <c r="F105" s="18"/>
      <c r="G105" s="2"/>
      <c r="H105" s="2"/>
      <c r="I105" s="2">
        <v>1000</v>
      </c>
      <c r="J105" s="2"/>
      <c r="K105" s="2"/>
      <c r="L105" s="2"/>
      <c r="M105" s="2"/>
      <c r="O105" s="20">
        <f t="shared" si="3"/>
        <v>13.520547945205479</v>
      </c>
      <c r="P105"/>
      <c r="Q105"/>
    </row>
    <row r="106" spans="1:22" x14ac:dyDescent="0.25">
      <c r="A106" s="38">
        <v>102</v>
      </c>
      <c r="B106" s="39" t="s">
        <v>242</v>
      </c>
      <c r="C106" s="41">
        <v>30716</v>
      </c>
      <c r="D106" s="41" t="s">
        <v>289</v>
      </c>
      <c r="E106" s="41"/>
      <c r="F106" s="40">
        <v>2400</v>
      </c>
      <c r="G106" s="38"/>
      <c r="H106" s="38"/>
      <c r="I106" s="38"/>
      <c r="J106" s="38"/>
      <c r="K106" s="38"/>
      <c r="L106" s="38"/>
      <c r="M106" s="38"/>
      <c r="N106" s="36"/>
      <c r="O106" s="20">
        <f t="shared" si="3"/>
        <v>41.328767123287669</v>
      </c>
      <c r="P106" s="36"/>
      <c r="Q106" s="36"/>
      <c r="R106" s="36" t="s">
        <v>303</v>
      </c>
      <c r="S106" s="36"/>
      <c r="T106" s="36"/>
      <c r="U106" s="36"/>
      <c r="V106" s="36"/>
    </row>
    <row r="107" spans="1:22" x14ac:dyDescent="0.25">
      <c r="A107" s="2">
        <v>103</v>
      </c>
      <c r="B107" s="3" t="s">
        <v>248</v>
      </c>
      <c r="C107" s="10">
        <v>30665</v>
      </c>
      <c r="D107" s="10" t="s">
        <v>287</v>
      </c>
      <c r="E107" s="10"/>
      <c r="F107" s="17">
        <v>2400</v>
      </c>
      <c r="G107" s="2"/>
      <c r="H107" s="2"/>
      <c r="I107" s="2">
        <v>1000</v>
      </c>
      <c r="J107" s="2"/>
      <c r="K107" s="2"/>
      <c r="L107" s="2"/>
      <c r="M107" s="2"/>
      <c r="O107" s="20">
        <f t="shared" si="3"/>
        <v>41.468493150684928</v>
      </c>
      <c r="P107"/>
      <c r="Q107"/>
    </row>
    <row r="108" spans="1:22" x14ac:dyDescent="0.25">
      <c r="A108" s="2">
        <v>104</v>
      </c>
      <c r="B108" s="3" t="s">
        <v>249</v>
      </c>
      <c r="C108" s="10">
        <v>40719</v>
      </c>
      <c r="D108" s="10" t="s">
        <v>287</v>
      </c>
      <c r="E108" s="10"/>
      <c r="F108" s="18"/>
      <c r="G108" s="2"/>
      <c r="H108" s="2"/>
      <c r="I108" s="2">
        <v>1000</v>
      </c>
      <c r="J108" s="2"/>
      <c r="K108" s="2"/>
      <c r="L108" s="2"/>
      <c r="M108" s="2"/>
      <c r="O108" s="20">
        <f t="shared" si="3"/>
        <v>13.923287671232877</v>
      </c>
      <c r="P108"/>
      <c r="Q108"/>
    </row>
    <row r="109" spans="1:22" x14ac:dyDescent="0.25">
      <c r="A109" s="2">
        <v>105</v>
      </c>
      <c r="B109" s="3" t="s">
        <v>253</v>
      </c>
      <c r="C109" s="10">
        <v>42724</v>
      </c>
      <c r="D109" s="10" t="s">
        <v>287</v>
      </c>
      <c r="E109" s="10"/>
      <c r="F109" s="18"/>
      <c r="G109" s="2"/>
      <c r="H109" s="2"/>
      <c r="I109" s="2"/>
      <c r="J109" s="2"/>
      <c r="K109" s="2"/>
      <c r="L109" s="2"/>
      <c r="M109" s="2"/>
      <c r="O109" s="20">
        <f t="shared" si="3"/>
        <v>8.4301369863013704</v>
      </c>
      <c r="P109"/>
      <c r="Q109"/>
    </row>
    <row r="110" spans="1:22" x14ac:dyDescent="0.25">
      <c r="A110" s="2">
        <v>106</v>
      </c>
      <c r="B110" s="3" t="s">
        <v>254</v>
      </c>
      <c r="C110" s="10">
        <v>32258</v>
      </c>
      <c r="D110" s="10" t="s">
        <v>290</v>
      </c>
      <c r="E110" s="10"/>
      <c r="F110" s="17">
        <v>2400</v>
      </c>
      <c r="G110" s="43">
        <v>1500</v>
      </c>
      <c r="H110" s="2"/>
      <c r="I110" s="2"/>
      <c r="J110" s="2"/>
      <c r="K110" s="2"/>
      <c r="L110" s="2"/>
      <c r="M110" s="2"/>
      <c r="O110" s="20">
        <f t="shared" si="3"/>
        <v>37.104109589041094</v>
      </c>
      <c r="P110"/>
      <c r="Q110"/>
    </row>
    <row r="111" spans="1:22" x14ac:dyDescent="0.25">
      <c r="A111" s="2">
        <v>107</v>
      </c>
      <c r="B111" s="3" t="s">
        <v>255</v>
      </c>
      <c r="C111" s="10">
        <v>33838</v>
      </c>
      <c r="D111" s="10" t="s">
        <v>290</v>
      </c>
      <c r="E111" s="10"/>
      <c r="F111" s="17">
        <v>2400</v>
      </c>
      <c r="G111" s="43">
        <v>1500</v>
      </c>
      <c r="H111" s="2"/>
      <c r="I111" s="2"/>
      <c r="J111" s="2"/>
      <c r="K111" s="2"/>
      <c r="L111" s="2"/>
      <c r="M111" s="2"/>
      <c r="O111" s="20">
        <f t="shared" si="3"/>
        <v>32.775342465753425</v>
      </c>
      <c r="P111"/>
      <c r="Q111"/>
    </row>
    <row r="112" spans="1:22" x14ac:dyDescent="0.25">
      <c r="A112" s="2">
        <v>108</v>
      </c>
      <c r="B112" s="3" t="s">
        <v>256</v>
      </c>
      <c r="C112" s="10">
        <v>31841</v>
      </c>
      <c r="D112" s="10" t="s">
        <v>287</v>
      </c>
      <c r="E112" s="10"/>
      <c r="F112" s="22"/>
      <c r="G112" s="2"/>
      <c r="H112" s="2"/>
      <c r="I112" s="2"/>
      <c r="J112" s="2"/>
      <c r="K112" s="2"/>
      <c r="L112" s="2"/>
      <c r="M112" s="2"/>
      <c r="O112" s="20">
        <f t="shared" si="3"/>
        <v>38.246575342465754</v>
      </c>
      <c r="P112"/>
      <c r="Q112"/>
    </row>
    <row r="113" spans="1:17" x14ac:dyDescent="0.25">
      <c r="A113" s="2">
        <v>109</v>
      </c>
      <c r="B113" s="3" t="s">
        <v>257</v>
      </c>
      <c r="C113" s="10">
        <v>32700</v>
      </c>
      <c r="D113" s="10" t="s">
        <v>287</v>
      </c>
      <c r="E113" s="10"/>
      <c r="F113" s="22"/>
      <c r="G113" s="2"/>
      <c r="H113" s="2"/>
      <c r="I113" s="2"/>
      <c r="J113" s="2"/>
      <c r="K113" s="2"/>
      <c r="L113" s="2"/>
      <c r="M113" s="2"/>
      <c r="O113" s="20">
        <f t="shared" si="3"/>
        <v>35.893150684931506</v>
      </c>
      <c r="P113"/>
      <c r="Q113"/>
    </row>
    <row r="114" spans="1:17" x14ac:dyDescent="0.25">
      <c r="A114" s="2">
        <v>110</v>
      </c>
      <c r="B114" s="3" t="s">
        <v>258</v>
      </c>
      <c r="C114" s="10">
        <v>29796</v>
      </c>
      <c r="D114" s="10" t="s">
        <v>287</v>
      </c>
      <c r="E114" s="10"/>
      <c r="F114" s="17">
        <v>2400</v>
      </c>
      <c r="G114" s="2"/>
      <c r="H114" s="2"/>
      <c r="I114" s="2">
        <v>1000</v>
      </c>
      <c r="J114" s="2"/>
      <c r="K114" s="2"/>
      <c r="L114" s="2"/>
      <c r="M114" s="2"/>
      <c r="O114" s="20">
        <f t="shared" si="3"/>
        <v>43.849315068493148</v>
      </c>
      <c r="P114"/>
      <c r="Q114"/>
    </row>
    <row r="115" spans="1:17" x14ac:dyDescent="0.25">
      <c r="A115" s="2">
        <v>111</v>
      </c>
      <c r="B115" s="3" t="s">
        <v>259</v>
      </c>
      <c r="C115" s="10">
        <v>40511</v>
      </c>
      <c r="D115" s="10" t="s">
        <v>287</v>
      </c>
      <c r="E115" s="10"/>
      <c r="F115" s="18"/>
      <c r="G115" s="2"/>
      <c r="H115" s="2"/>
      <c r="I115" s="2"/>
      <c r="J115" s="2"/>
      <c r="K115" s="2"/>
      <c r="L115" s="2"/>
      <c r="M115" s="2"/>
      <c r="O115" s="20">
        <f t="shared" si="3"/>
        <v>14.493150684931507</v>
      </c>
      <c r="P115"/>
      <c r="Q115"/>
    </row>
    <row r="116" spans="1:17" x14ac:dyDescent="0.25">
      <c r="A116" s="2">
        <v>112</v>
      </c>
      <c r="B116" s="3" t="s">
        <v>261</v>
      </c>
      <c r="C116" s="10">
        <v>37452</v>
      </c>
      <c r="D116" s="10" t="s">
        <v>283</v>
      </c>
      <c r="E116" s="10"/>
      <c r="F116" s="28"/>
      <c r="G116" s="2"/>
      <c r="H116" s="2"/>
      <c r="I116" s="28"/>
      <c r="J116" s="2"/>
      <c r="K116" s="2"/>
      <c r="L116" s="2"/>
      <c r="M116" s="2"/>
      <c r="O116" s="20">
        <f t="shared" si="3"/>
        <v>22.873972602739727</v>
      </c>
      <c r="P116"/>
      <c r="Q116"/>
    </row>
    <row r="117" spans="1:17" x14ac:dyDescent="0.25">
      <c r="A117" s="2">
        <v>113</v>
      </c>
      <c r="B117" s="3" t="s">
        <v>263</v>
      </c>
      <c r="C117" s="10">
        <v>30155</v>
      </c>
      <c r="D117" s="52" t="s">
        <v>282</v>
      </c>
      <c r="E117" s="10"/>
      <c r="F117" s="17">
        <v>2400</v>
      </c>
      <c r="G117" s="2"/>
      <c r="H117" s="2"/>
      <c r="I117" s="2">
        <v>1000</v>
      </c>
      <c r="J117" s="2"/>
      <c r="K117" s="2"/>
      <c r="L117" s="2"/>
      <c r="M117" s="2"/>
      <c r="O117" s="20">
        <f t="shared" si="3"/>
        <v>42.865753424657534</v>
      </c>
      <c r="P117"/>
      <c r="Q117"/>
    </row>
    <row r="118" spans="1:17" x14ac:dyDescent="0.25">
      <c r="A118" s="2">
        <v>114</v>
      </c>
      <c r="B118" s="3" t="s">
        <v>265</v>
      </c>
      <c r="C118" s="10">
        <v>30051</v>
      </c>
      <c r="D118" s="52" t="s">
        <v>282</v>
      </c>
      <c r="E118" s="10"/>
      <c r="F118" s="17">
        <v>2400</v>
      </c>
      <c r="G118" s="2"/>
      <c r="H118" s="2"/>
      <c r="I118" s="2"/>
      <c r="J118" s="2">
        <v>1000</v>
      </c>
      <c r="K118" s="2"/>
      <c r="L118" s="2"/>
      <c r="M118" s="2"/>
      <c r="O118" s="20">
        <f t="shared" si="3"/>
        <v>43.150684931506852</v>
      </c>
      <c r="P118"/>
      <c r="Q118"/>
    </row>
    <row r="119" spans="1:17" x14ac:dyDescent="0.25">
      <c r="A119" s="2">
        <v>115</v>
      </c>
      <c r="B119" s="3" t="s">
        <v>266</v>
      </c>
      <c r="C119" s="10">
        <v>40897</v>
      </c>
      <c r="D119" s="52" t="s">
        <v>282</v>
      </c>
      <c r="E119" s="10"/>
      <c r="F119" s="18"/>
      <c r="G119" s="2"/>
      <c r="H119" s="2"/>
      <c r="I119" s="2"/>
      <c r="J119" s="2">
        <v>1000</v>
      </c>
      <c r="K119" s="2"/>
      <c r="L119" s="2"/>
      <c r="M119" s="2"/>
      <c r="O119" s="20">
        <f t="shared" si="3"/>
        <v>13.435616438356165</v>
      </c>
      <c r="P119"/>
      <c r="Q119"/>
    </row>
    <row r="120" spans="1:17" x14ac:dyDescent="0.25">
      <c r="A120" s="2">
        <v>116</v>
      </c>
      <c r="B120" s="3" t="s">
        <v>267</v>
      </c>
      <c r="C120" s="10">
        <v>41843</v>
      </c>
      <c r="D120" s="52" t="s">
        <v>282</v>
      </c>
      <c r="E120" s="10"/>
      <c r="F120" s="18"/>
      <c r="G120" s="2"/>
      <c r="H120" s="2"/>
      <c r="I120" s="2"/>
      <c r="J120" s="2">
        <v>1000</v>
      </c>
      <c r="K120" s="2"/>
      <c r="L120" s="2"/>
      <c r="M120" s="2"/>
      <c r="O120" s="20">
        <f t="shared" si="3"/>
        <v>10.843835616438357</v>
      </c>
      <c r="P120"/>
      <c r="Q120"/>
    </row>
    <row r="121" spans="1:17" x14ac:dyDescent="0.25">
      <c r="A121" s="2">
        <v>117</v>
      </c>
      <c r="B121" s="3" t="s">
        <v>309</v>
      </c>
      <c r="C121" s="10">
        <v>31385</v>
      </c>
      <c r="D121" s="52" t="s">
        <v>284</v>
      </c>
      <c r="E121" s="10"/>
      <c r="F121" s="22"/>
      <c r="G121" s="2"/>
      <c r="H121" s="2"/>
      <c r="I121" s="2"/>
      <c r="J121" s="28"/>
      <c r="K121" s="2"/>
      <c r="L121" s="2"/>
      <c r="M121" s="2"/>
      <c r="O121" s="20">
        <f t="shared" si="3"/>
        <v>39.495890410958907</v>
      </c>
      <c r="P121"/>
      <c r="Q121"/>
    </row>
    <row r="122" spans="1:17" x14ac:dyDescent="0.25">
      <c r="A122" s="2">
        <v>118</v>
      </c>
      <c r="B122" s="3" t="s">
        <v>310</v>
      </c>
      <c r="C122" s="10">
        <v>31627</v>
      </c>
      <c r="D122" s="52" t="s">
        <v>284</v>
      </c>
      <c r="E122" s="10"/>
      <c r="F122" s="22"/>
      <c r="G122" s="2"/>
      <c r="H122" s="2"/>
      <c r="I122" s="2"/>
      <c r="J122" s="28"/>
      <c r="K122" s="2"/>
      <c r="L122" s="2"/>
      <c r="M122" s="2"/>
      <c r="O122" s="20">
        <f t="shared" si="3"/>
        <v>38.832876712328769</v>
      </c>
      <c r="P122"/>
      <c r="Q122"/>
    </row>
    <row r="123" spans="1:17" x14ac:dyDescent="0.25">
      <c r="A123" s="2">
        <v>119</v>
      </c>
      <c r="B123" s="3" t="s">
        <v>269</v>
      </c>
      <c r="C123" s="10">
        <v>37169</v>
      </c>
      <c r="D123" s="10" t="s">
        <v>291</v>
      </c>
      <c r="E123" s="10"/>
      <c r="F123" s="17">
        <v>2400</v>
      </c>
      <c r="G123" s="2"/>
      <c r="H123" s="2"/>
      <c r="I123" s="2"/>
      <c r="J123" s="2">
        <v>1000</v>
      </c>
      <c r="K123" s="2"/>
      <c r="L123" s="2"/>
      <c r="M123" s="2"/>
      <c r="O123" s="20">
        <f t="shared" si="3"/>
        <v>23.649315068493152</v>
      </c>
      <c r="P123"/>
      <c r="Q123"/>
    </row>
    <row r="124" spans="1:17" x14ac:dyDescent="0.25">
      <c r="A124" s="2">
        <v>120</v>
      </c>
      <c r="B124" s="3" t="s">
        <v>273</v>
      </c>
      <c r="C124" s="10">
        <v>37689</v>
      </c>
      <c r="D124" s="10" t="s">
        <v>291</v>
      </c>
      <c r="E124" s="10"/>
      <c r="F124" s="17">
        <v>2400</v>
      </c>
      <c r="G124" s="2"/>
      <c r="H124" s="2"/>
      <c r="I124" s="2"/>
      <c r="J124" s="2">
        <v>1000</v>
      </c>
      <c r="K124" s="2"/>
      <c r="L124" s="2"/>
      <c r="M124" s="2"/>
      <c r="O124" s="20">
        <f t="shared" si="3"/>
        <v>22.224657534246575</v>
      </c>
      <c r="P124"/>
      <c r="Q124"/>
    </row>
    <row r="125" spans="1:17" x14ac:dyDescent="0.25">
      <c r="A125" s="2">
        <v>121</v>
      </c>
      <c r="B125" s="3" t="s">
        <v>306</v>
      </c>
      <c r="C125" s="10">
        <v>31647</v>
      </c>
      <c r="D125" s="52" t="s">
        <v>284</v>
      </c>
      <c r="E125" s="10"/>
      <c r="F125" s="22"/>
      <c r="G125" s="2"/>
      <c r="H125" s="2"/>
      <c r="I125" s="2"/>
      <c r="J125" s="28"/>
      <c r="K125" s="2"/>
      <c r="L125" s="2"/>
      <c r="M125" s="2"/>
      <c r="O125" s="20">
        <f t="shared" si="3"/>
        <v>38.778082191780825</v>
      </c>
      <c r="P125"/>
      <c r="Q125"/>
    </row>
    <row r="126" spans="1:17" x14ac:dyDescent="0.25">
      <c r="A126" s="2">
        <v>122</v>
      </c>
      <c r="B126" s="3" t="s">
        <v>307</v>
      </c>
      <c r="C126" s="10">
        <v>32182</v>
      </c>
      <c r="D126" s="52" t="s">
        <v>284</v>
      </c>
      <c r="E126" s="10"/>
      <c r="F126" s="22"/>
      <c r="G126" s="2"/>
      <c r="H126" s="2"/>
      <c r="I126" s="2"/>
      <c r="J126" s="28"/>
      <c r="K126" s="2"/>
      <c r="L126" s="2"/>
      <c r="M126" s="2"/>
      <c r="O126" s="20">
        <f t="shared" si="3"/>
        <v>37.31232876712329</v>
      </c>
      <c r="P126"/>
      <c r="Q126"/>
    </row>
    <row r="127" spans="1:17" x14ac:dyDescent="0.25">
      <c r="A127" s="2">
        <v>123</v>
      </c>
      <c r="B127" s="3" t="s">
        <v>308</v>
      </c>
      <c r="C127" s="10">
        <v>42313</v>
      </c>
      <c r="D127" s="52" t="s">
        <v>284</v>
      </c>
      <c r="E127" s="10"/>
      <c r="F127" s="22"/>
      <c r="G127" s="2"/>
      <c r="H127" s="2"/>
      <c r="I127" s="2"/>
      <c r="J127" s="28"/>
      <c r="K127" s="2"/>
      <c r="L127" s="2"/>
      <c r="M127" s="2"/>
      <c r="O127" s="20">
        <f t="shared" si="3"/>
        <v>9.5561643835616437</v>
      </c>
      <c r="P127"/>
      <c r="Q127"/>
    </row>
    <row r="128" spans="1:17" x14ac:dyDescent="0.25">
      <c r="A128" s="2">
        <v>124</v>
      </c>
      <c r="B128" s="3" t="s">
        <v>316</v>
      </c>
      <c r="C128" s="10">
        <v>34096</v>
      </c>
      <c r="D128" s="10" t="s">
        <v>290</v>
      </c>
      <c r="E128" s="10"/>
      <c r="F128" s="17">
        <v>2400</v>
      </c>
      <c r="G128" s="2"/>
      <c r="H128" s="2"/>
      <c r="I128" s="2"/>
      <c r="J128" s="2"/>
      <c r="K128" s="2"/>
      <c r="L128" s="2"/>
      <c r="M128" s="2"/>
      <c r="O128" s="20">
        <f t="shared" si="3"/>
        <v>32.06849315068493</v>
      </c>
      <c r="P128"/>
      <c r="Q128"/>
    </row>
    <row r="129" spans="1:18" x14ac:dyDescent="0.25">
      <c r="A129" s="2">
        <v>125</v>
      </c>
      <c r="B129" s="3" t="s">
        <v>317</v>
      </c>
      <c r="C129" s="10">
        <v>36570</v>
      </c>
      <c r="D129" s="10" t="s">
        <v>291</v>
      </c>
      <c r="E129" s="10"/>
      <c r="F129" s="17" t="s">
        <v>318</v>
      </c>
      <c r="G129" s="2"/>
      <c r="H129" s="2"/>
      <c r="I129" s="2"/>
      <c r="J129" s="2"/>
      <c r="K129" s="2"/>
      <c r="L129" s="2"/>
      <c r="M129" s="2"/>
      <c r="O129" s="20">
        <f t="shared" si="3"/>
        <v>25.290410958904111</v>
      </c>
      <c r="P129"/>
      <c r="Q129"/>
      <c r="R129" t="s">
        <v>321</v>
      </c>
    </row>
    <row r="130" spans="1:18" x14ac:dyDescent="0.25">
      <c r="A130" s="2">
        <v>126</v>
      </c>
      <c r="B130" s="3" t="s">
        <v>319</v>
      </c>
      <c r="C130" s="10">
        <v>35832</v>
      </c>
      <c r="D130" s="10" t="s">
        <v>291</v>
      </c>
      <c r="E130" s="10"/>
      <c r="F130" s="17" t="s">
        <v>318</v>
      </c>
      <c r="G130" s="2"/>
      <c r="H130" s="2"/>
      <c r="I130" s="2"/>
      <c r="J130" s="2"/>
      <c r="K130" s="2"/>
      <c r="L130" s="2"/>
      <c r="M130" s="2"/>
      <c r="O130" s="20">
        <f t="shared" si="3"/>
        <v>27.312328767123287</v>
      </c>
      <c r="P130"/>
      <c r="Q130"/>
      <c r="R130" t="s">
        <v>320</v>
      </c>
    </row>
    <row r="131" spans="1:18" x14ac:dyDescent="0.25">
      <c r="A131" s="2">
        <v>127</v>
      </c>
      <c r="B131" s="3"/>
      <c r="C131" s="10"/>
      <c r="D131" s="10"/>
      <c r="E131" s="10"/>
      <c r="F131" s="17"/>
      <c r="G131" s="2"/>
      <c r="H131" s="2"/>
      <c r="I131" s="2"/>
      <c r="J131" s="2"/>
      <c r="K131" s="2"/>
      <c r="L131" s="2"/>
      <c r="M131" s="2"/>
      <c r="O131" s="20">
        <f>($O$3-C31)/365</f>
        <v>42.849315068493148</v>
      </c>
      <c r="P131"/>
      <c r="Q131"/>
      <c r="R131" t="s">
        <v>325</v>
      </c>
    </row>
    <row r="132" spans="1:18" x14ac:dyDescent="0.25">
      <c r="A132" s="2">
        <v>128</v>
      </c>
      <c r="B132" s="3"/>
      <c r="C132" s="10"/>
      <c r="D132" s="10"/>
      <c r="E132" s="10"/>
      <c r="F132" s="17"/>
      <c r="G132" s="2"/>
      <c r="H132" s="2"/>
      <c r="I132" s="2"/>
      <c r="J132" s="2"/>
      <c r="K132" s="2"/>
      <c r="L132" s="2"/>
      <c r="M132" s="2"/>
      <c r="O132" s="20">
        <f t="shared" si="3"/>
        <v>125.48219178082192</v>
      </c>
      <c r="P132"/>
      <c r="Q132"/>
    </row>
    <row r="133" spans="1:18" x14ac:dyDescent="0.25">
      <c r="A133" s="2">
        <v>129</v>
      </c>
      <c r="B133" s="3"/>
      <c r="C133" s="10"/>
      <c r="D133" s="10"/>
      <c r="E133" s="10"/>
      <c r="F133" s="17"/>
      <c r="G133" s="2"/>
      <c r="H133" s="2"/>
      <c r="I133" s="2"/>
      <c r="J133" s="2"/>
      <c r="K133" s="2"/>
      <c r="L133" s="2"/>
      <c r="M133" s="2"/>
      <c r="O133" s="20">
        <f t="shared" si="3"/>
        <v>125.48219178082192</v>
      </c>
      <c r="P133"/>
      <c r="Q133"/>
    </row>
    <row r="134" spans="1:18" x14ac:dyDescent="0.25">
      <c r="A134" s="2">
        <v>130</v>
      </c>
      <c r="B134" s="3"/>
      <c r="C134" s="10"/>
      <c r="D134" s="10"/>
      <c r="E134" s="10"/>
      <c r="F134" s="17"/>
      <c r="G134" s="2"/>
      <c r="H134" s="2"/>
      <c r="I134" s="2"/>
      <c r="J134" s="2"/>
      <c r="K134" s="2"/>
      <c r="L134" s="2"/>
      <c r="M134" s="2"/>
      <c r="O134" s="20">
        <f t="shared" si="3"/>
        <v>125.48219178082192</v>
      </c>
      <c r="P134"/>
      <c r="Q134"/>
    </row>
    <row r="135" spans="1:18" x14ac:dyDescent="0.25">
      <c r="A135" s="2">
        <v>131</v>
      </c>
      <c r="B135" s="3"/>
      <c r="C135" s="10"/>
      <c r="D135" s="10"/>
      <c r="E135" s="10"/>
      <c r="F135" s="17"/>
      <c r="G135" s="2"/>
      <c r="H135" s="2"/>
      <c r="I135" s="2"/>
      <c r="J135" s="2"/>
      <c r="K135" s="2"/>
      <c r="L135" s="2"/>
      <c r="M135" s="2"/>
      <c r="O135" s="20">
        <f t="shared" si="3"/>
        <v>125.48219178082192</v>
      </c>
      <c r="P135"/>
      <c r="Q135"/>
    </row>
    <row r="136" spans="1:18" x14ac:dyDescent="0.25">
      <c r="A136" s="2">
        <v>132</v>
      </c>
      <c r="B136" s="3"/>
      <c r="C136" s="10"/>
      <c r="D136" s="10"/>
      <c r="E136" s="10"/>
      <c r="F136" s="17"/>
      <c r="G136" s="2"/>
      <c r="H136" s="2"/>
      <c r="I136" s="2"/>
      <c r="J136" s="2"/>
      <c r="K136" s="2"/>
      <c r="L136" s="2"/>
      <c r="M136" s="2"/>
      <c r="O136" s="20">
        <f t="shared" si="3"/>
        <v>125.48219178082192</v>
      </c>
      <c r="P136"/>
      <c r="Q136"/>
    </row>
    <row r="137" spans="1:18" x14ac:dyDescent="0.25">
      <c r="A137" s="2">
        <v>133</v>
      </c>
      <c r="B137" s="3"/>
      <c r="C137" s="10"/>
      <c r="D137" s="10"/>
      <c r="E137" s="10"/>
      <c r="F137" s="17"/>
      <c r="G137" s="2"/>
      <c r="H137" s="2"/>
      <c r="I137" s="2"/>
      <c r="J137" s="2"/>
      <c r="K137" s="2"/>
      <c r="L137" s="2"/>
      <c r="M137" s="2"/>
      <c r="O137" s="20">
        <f t="shared" si="3"/>
        <v>125.48219178082192</v>
      </c>
      <c r="P137"/>
      <c r="Q137"/>
    </row>
    <row r="138" spans="1:18" x14ac:dyDescent="0.25">
      <c r="A138" s="2">
        <v>134</v>
      </c>
      <c r="B138" s="3"/>
      <c r="C138" s="10"/>
      <c r="D138" s="10"/>
      <c r="E138" s="10"/>
      <c r="F138" s="17"/>
      <c r="G138" s="2"/>
      <c r="H138" s="2"/>
      <c r="I138" s="2"/>
      <c r="J138" s="2"/>
      <c r="K138" s="2"/>
      <c r="L138" s="2"/>
      <c r="M138" s="2"/>
      <c r="O138" s="20">
        <f t="shared" si="3"/>
        <v>125.48219178082192</v>
      </c>
      <c r="P138"/>
      <c r="Q138"/>
    </row>
    <row r="139" spans="1:18" x14ac:dyDescent="0.25">
      <c r="A139" s="2">
        <v>135</v>
      </c>
      <c r="B139" s="3"/>
      <c r="C139" s="10"/>
      <c r="D139" s="10"/>
      <c r="E139" s="10"/>
      <c r="F139" s="17"/>
      <c r="G139" s="2"/>
      <c r="H139" s="2"/>
      <c r="I139" s="2"/>
      <c r="J139" s="2"/>
      <c r="K139" s="2"/>
      <c r="L139" s="2"/>
      <c r="M139" s="2"/>
      <c r="O139" s="20">
        <f t="shared" si="3"/>
        <v>125.48219178082192</v>
      </c>
      <c r="P139"/>
      <c r="Q139"/>
    </row>
    <row r="140" spans="1:18" s="14" customFormat="1" ht="28.5" x14ac:dyDescent="0.25">
      <c r="A140" s="71" t="s">
        <v>4</v>
      </c>
      <c r="B140" s="72"/>
      <c r="C140" s="4"/>
      <c r="D140" s="4"/>
      <c r="E140" s="4"/>
      <c r="F140" s="16">
        <f t="shared" ref="F140:M140" si="4">SUM(F5:F139)</f>
        <v>169200</v>
      </c>
      <c r="G140" s="16">
        <f t="shared" si="4"/>
        <v>16500</v>
      </c>
      <c r="H140" s="16">
        <f t="shared" si="4"/>
        <v>0</v>
      </c>
      <c r="I140" s="16">
        <f t="shared" si="4"/>
        <v>60000</v>
      </c>
      <c r="J140" s="16">
        <f t="shared" si="4"/>
        <v>5000</v>
      </c>
      <c r="K140" s="16">
        <f t="shared" si="4"/>
        <v>3000</v>
      </c>
      <c r="L140" s="16">
        <f t="shared" si="4"/>
        <v>5250</v>
      </c>
      <c r="M140" s="16">
        <f t="shared" si="4"/>
        <v>220</v>
      </c>
      <c r="O140" s="21">
        <f>SUM(F140:L140)-C166</f>
        <v>32750</v>
      </c>
      <c r="P140" s="15"/>
      <c r="Q140" s="15"/>
      <c r="R140" s="15"/>
    </row>
    <row r="141" spans="1:18" x14ac:dyDescent="0.25">
      <c r="A141" s="7"/>
      <c r="B141" s="49"/>
      <c r="C141" s="48" t="s">
        <v>245</v>
      </c>
      <c r="D141" s="37"/>
      <c r="E141" s="37"/>
      <c r="F141" s="27">
        <f>SUM(F5:F78)/1900+SUM(F79:F90)/2100+SUM(F91:F139)/2400</f>
        <v>83</v>
      </c>
      <c r="G141" s="42">
        <f>G140/1500</f>
        <v>11</v>
      </c>
      <c r="H141" s="7"/>
      <c r="I141" s="42">
        <f>I140/1000</f>
        <v>60</v>
      </c>
      <c r="J141" s="42">
        <f>J140/1000</f>
        <v>5</v>
      </c>
      <c r="K141" s="42">
        <f>K140/1000</f>
        <v>3</v>
      </c>
      <c r="L141" s="42">
        <f>L140/350</f>
        <v>15</v>
      </c>
      <c r="M141" s="42"/>
      <c r="O141" s="7" t="s">
        <v>9</v>
      </c>
      <c r="P141" s="7"/>
      <c r="Q141" s="7"/>
      <c r="R141" s="7" t="s">
        <v>8</v>
      </c>
    </row>
    <row r="142" spans="1:18" x14ac:dyDescent="0.25">
      <c r="A142" s="7"/>
      <c r="B142" s="7"/>
      <c r="C142" s="37"/>
      <c r="D142" s="37"/>
      <c r="E142" s="37"/>
      <c r="F142" s="27"/>
      <c r="G142" s="42" t="s">
        <v>279</v>
      </c>
      <c r="H142" s="7"/>
      <c r="I142" s="42"/>
      <c r="J142" s="42"/>
      <c r="K142" s="42" t="s">
        <v>295</v>
      </c>
      <c r="L142" s="42"/>
      <c r="M142" s="42"/>
      <c r="O142" s="7"/>
      <c r="P142" s="7"/>
      <c r="Q142" s="7"/>
      <c r="R142" s="7"/>
    </row>
    <row r="143" spans="1:18" x14ac:dyDescent="0.25">
      <c r="A143" s="7"/>
      <c r="B143" s="7"/>
      <c r="C143" s="7"/>
      <c r="D143" s="7"/>
      <c r="E143" s="7"/>
      <c r="F143" s="27"/>
      <c r="G143" s="7"/>
      <c r="H143" s="7"/>
      <c r="I143" s="7"/>
      <c r="J143" s="7"/>
      <c r="K143" s="7"/>
      <c r="O143" s="7"/>
      <c r="P143" s="7"/>
      <c r="Q143" s="7"/>
      <c r="R143" s="7"/>
    </row>
    <row r="144" spans="1:18" ht="61.5" x14ac:dyDescent="0.9">
      <c r="A144" s="63" t="s">
        <v>205</v>
      </c>
      <c r="B144" s="64"/>
      <c r="C144" s="64"/>
      <c r="D144" s="64"/>
      <c r="E144" s="64"/>
      <c r="F144" s="65"/>
      <c r="G144" s="8"/>
      <c r="H144"/>
      <c r="J144"/>
      <c r="K144"/>
      <c r="L144"/>
      <c r="M144"/>
      <c r="O144"/>
      <c r="P144"/>
      <c r="Q144"/>
    </row>
    <row r="145" spans="1:18" x14ac:dyDescent="0.25">
      <c r="A145" s="4" t="s">
        <v>2</v>
      </c>
      <c r="B145" s="4" t="s">
        <v>0</v>
      </c>
      <c r="C145" s="4" t="s">
        <v>10</v>
      </c>
      <c r="D145" s="4" t="s">
        <v>11</v>
      </c>
      <c r="E145" s="5" t="s">
        <v>12</v>
      </c>
      <c r="F145" s="5" t="s">
        <v>13</v>
      </c>
      <c r="G145"/>
      <c r="H145"/>
      <c r="I145"/>
      <c r="K145"/>
      <c r="L145"/>
      <c r="M145"/>
      <c r="O145"/>
      <c r="P145"/>
      <c r="Q145"/>
    </row>
    <row r="146" spans="1:18" x14ac:dyDescent="0.25">
      <c r="A146" s="2">
        <v>2</v>
      </c>
      <c r="B146" s="3" t="s">
        <v>14</v>
      </c>
      <c r="C146" s="2"/>
      <c r="D146" s="2">
        <v>1</v>
      </c>
      <c r="E146" s="2"/>
      <c r="F146" s="2"/>
      <c r="I146"/>
      <c r="J146" s="19"/>
      <c r="K146" s="9"/>
      <c r="L146" s="9"/>
      <c r="M146" s="9"/>
      <c r="O146"/>
      <c r="P146"/>
      <c r="Q146"/>
    </row>
    <row r="147" spans="1:18" x14ac:dyDescent="0.25">
      <c r="A147" s="2">
        <v>4</v>
      </c>
      <c r="B147" s="3" t="s">
        <v>3</v>
      </c>
      <c r="C147" s="2">
        <v>1</v>
      </c>
      <c r="D147" s="2">
        <v>1</v>
      </c>
      <c r="E147" s="2">
        <v>1</v>
      </c>
      <c r="F147" s="2"/>
      <c r="I147"/>
      <c r="J147" s="19"/>
      <c r="K147" s="9"/>
      <c r="L147" s="9"/>
      <c r="M147" s="9"/>
      <c r="O147"/>
      <c r="P147"/>
      <c r="Q147"/>
    </row>
    <row r="148" spans="1:18" x14ac:dyDescent="0.25">
      <c r="A148" s="2">
        <v>7</v>
      </c>
      <c r="B148" s="3" t="s">
        <v>5</v>
      </c>
      <c r="C148" s="2"/>
      <c r="D148" s="2"/>
      <c r="E148" s="2">
        <v>1</v>
      </c>
      <c r="F148" s="2">
        <v>1</v>
      </c>
      <c r="I148"/>
      <c r="J148" s="19"/>
      <c r="K148" s="9"/>
      <c r="L148" s="9"/>
      <c r="M148" s="9"/>
      <c r="O148"/>
      <c r="P148"/>
      <c r="Q148"/>
    </row>
    <row r="149" spans="1:18" x14ac:dyDescent="0.25">
      <c r="L149" s="1"/>
      <c r="M149" s="1"/>
      <c r="O149" s="19"/>
      <c r="P149" s="9"/>
      <c r="Q149" s="9"/>
      <c r="R149" s="9"/>
    </row>
    <row r="150" spans="1:18" x14ac:dyDescent="0.25">
      <c r="L150" s="1"/>
      <c r="M150" s="1"/>
      <c r="O150" s="19"/>
      <c r="P150" s="9"/>
      <c r="Q150" s="9"/>
      <c r="R150" s="9"/>
    </row>
    <row r="151" spans="1:18" ht="15.75" x14ac:dyDescent="0.25">
      <c r="A151" s="66" t="s">
        <v>216</v>
      </c>
      <c r="B151" s="66"/>
      <c r="C151" s="66"/>
      <c r="D151" s="66"/>
      <c r="E151" s="66"/>
      <c r="F151" s="66"/>
      <c r="J151" s="6"/>
      <c r="K151" s="6"/>
      <c r="L151"/>
      <c r="M151" s="1"/>
      <c r="N151" s="1"/>
      <c r="P151"/>
      <c r="Q151"/>
    </row>
    <row r="152" spans="1:18" x14ac:dyDescent="0.25">
      <c r="A152" s="33" t="s">
        <v>2</v>
      </c>
      <c r="B152" s="29" t="s">
        <v>158</v>
      </c>
      <c r="C152" s="33" t="s">
        <v>159</v>
      </c>
      <c r="D152" s="34" t="s">
        <v>160</v>
      </c>
      <c r="E152" s="33" t="s">
        <v>161</v>
      </c>
      <c r="F152" s="33" t="s">
        <v>215</v>
      </c>
      <c r="H152" s="6"/>
      <c r="I152" s="6"/>
      <c r="J152"/>
      <c r="K152" s="19"/>
      <c r="L152" s="1"/>
      <c r="M152" s="1"/>
      <c r="O152"/>
      <c r="P152"/>
      <c r="Q152"/>
    </row>
    <row r="153" spans="1:18" x14ac:dyDescent="0.25">
      <c r="A153" s="2">
        <v>1</v>
      </c>
      <c r="B153" s="3" t="s">
        <v>157</v>
      </c>
      <c r="C153" s="25">
        <v>30000</v>
      </c>
      <c r="D153" s="10">
        <v>45684</v>
      </c>
      <c r="E153" s="2" t="s">
        <v>162</v>
      </c>
      <c r="F153" s="25"/>
      <c r="H153" s="6"/>
      <c r="I153" s="6"/>
      <c r="J153"/>
      <c r="L153" s="1"/>
      <c r="M153" s="1"/>
      <c r="O153"/>
      <c r="P153"/>
      <c r="Q153"/>
    </row>
    <row r="154" spans="1:18" x14ac:dyDescent="0.25">
      <c r="A154" s="2">
        <v>2</v>
      </c>
      <c r="B154" s="3" t="s">
        <v>226</v>
      </c>
      <c r="C154" s="25">
        <v>102600</v>
      </c>
      <c r="D154" s="10">
        <v>45684</v>
      </c>
      <c r="E154" s="2" t="s">
        <v>162</v>
      </c>
      <c r="F154" s="25"/>
      <c r="J154" s="6"/>
      <c r="K154" s="6"/>
      <c r="L154"/>
      <c r="M154" s="1"/>
      <c r="N154" s="1"/>
      <c r="P154"/>
      <c r="Q154"/>
    </row>
    <row r="155" spans="1:18" x14ac:dyDescent="0.25">
      <c r="A155" s="2">
        <v>3</v>
      </c>
      <c r="B155" s="3" t="s">
        <v>196</v>
      </c>
      <c r="C155" s="25">
        <v>30000</v>
      </c>
      <c r="D155" s="10">
        <v>45694</v>
      </c>
      <c r="E155" s="2" t="s">
        <v>162</v>
      </c>
      <c r="F155" s="25"/>
      <c r="J155" s="6"/>
      <c r="K155" s="6"/>
      <c r="L155"/>
      <c r="M155" s="1"/>
      <c r="N155" s="1"/>
      <c r="P155"/>
      <c r="Q155"/>
    </row>
    <row r="156" spans="1:18" x14ac:dyDescent="0.25">
      <c r="A156" s="2">
        <v>4</v>
      </c>
      <c r="B156" s="3" t="s">
        <v>201</v>
      </c>
      <c r="C156" s="25">
        <v>3000</v>
      </c>
      <c r="D156" s="10">
        <v>45712</v>
      </c>
      <c r="E156" s="2" t="s">
        <v>162</v>
      </c>
      <c r="F156" s="25"/>
      <c r="J156" s="6"/>
      <c r="K156" s="6"/>
      <c r="L156"/>
      <c r="M156" s="1"/>
      <c r="N156" s="1"/>
      <c r="P156"/>
      <c r="Q156"/>
    </row>
    <row r="157" spans="1:18" x14ac:dyDescent="0.25">
      <c r="A157" s="2">
        <v>5</v>
      </c>
      <c r="B157" s="3" t="s">
        <v>224</v>
      </c>
      <c r="C157" s="25">
        <v>21000</v>
      </c>
      <c r="D157" s="10">
        <v>45716</v>
      </c>
      <c r="E157" s="2" t="s">
        <v>162</v>
      </c>
      <c r="F157" s="25"/>
      <c r="J157" s="6"/>
      <c r="K157" s="6"/>
      <c r="L157"/>
      <c r="M157" s="1"/>
      <c r="N157" s="1"/>
      <c r="P157"/>
      <c r="Q157"/>
    </row>
    <row r="158" spans="1:18" x14ac:dyDescent="0.25">
      <c r="A158" s="2">
        <v>6</v>
      </c>
      <c r="B158" s="3" t="s">
        <v>210</v>
      </c>
      <c r="C158" s="25"/>
      <c r="D158" s="10">
        <v>45736</v>
      </c>
      <c r="E158" s="2" t="s">
        <v>211</v>
      </c>
      <c r="F158" s="25">
        <v>8300</v>
      </c>
      <c r="J158" s="6"/>
      <c r="K158" s="6"/>
      <c r="L158"/>
      <c r="M158" s="1"/>
      <c r="N158" s="1"/>
      <c r="P158"/>
      <c r="Q158"/>
    </row>
    <row r="159" spans="1:18" x14ac:dyDescent="0.25">
      <c r="A159" s="2">
        <v>7</v>
      </c>
      <c r="B159" s="3" t="s">
        <v>213</v>
      </c>
      <c r="C159" s="25"/>
      <c r="D159" s="10">
        <v>45740</v>
      </c>
      <c r="E159" s="2" t="s">
        <v>211</v>
      </c>
      <c r="F159" s="25">
        <v>4100</v>
      </c>
      <c r="J159" s="6"/>
      <c r="K159" s="6"/>
      <c r="L159"/>
      <c r="M159" s="1"/>
      <c r="N159" s="1"/>
      <c r="P159"/>
      <c r="Q159"/>
    </row>
    <row r="160" spans="1:18" s="1" customFormat="1" x14ac:dyDescent="0.25">
      <c r="A160" s="2">
        <v>8</v>
      </c>
      <c r="B160" s="3" t="s">
        <v>225</v>
      </c>
      <c r="C160" s="25">
        <v>23400</v>
      </c>
      <c r="D160" s="10">
        <v>45743</v>
      </c>
      <c r="E160" s="2" t="s">
        <v>162</v>
      </c>
      <c r="F160" s="25"/>
      <c r="J160" s="6"/>
      <c r="K160" s="6"/>
      <c r="L160"/>
      <c r="P160"/>
      <c r="Q160"/>
    </row>
    <row r="161" spans="1:17" s="1" customFormat="1" x14ac:dyDescent="0.25">
      <c r="A161" s="2">
        <v>9</v>
      </c>
      <c r="B161" s="3" t="s">
        <v>243</v>
      </c>
      <c r="C161" s="25">
        <v>10200</v>
      </c>
      <c r="D161" s="10">
        <v>45744</v>
      </c>
      <c r="E161" s="2" t="s">
        <v>162</v>
      </c>
      <c r="F161" s="25"/>
      <c r="J161" s="6"/>
      <c r="K161" s="6"/>
      <c r="L161"/>
      <c r="P161"/>
      <c r="Q161"/>
    </row>
    <row r="162" spans="1:17" s="1" customFormat="1" x14ac:dyDescent="0.25">
      <c r="A162" s="2">
        <v>10</v>
      </c>
      <c r="B162" s="3" t="s">
        <v>274</v>
      </c>
      <c r="C162" s="25">
        <v>6000</v>
      </c>
      <c r="D162" s="10">
        <v>45756</v>
      </c>
      <c r="E162" s="2" t="s">
        <v>162</v>
      </c>
      <c r="F162" s="25">
        <f>15000-C162</f>
        <v>9000</v>
      </c>
      <c r="J162" s="6"/>
      <c r="K162" s="6"/>
      <c r="L162"/>
      <c r="P162"/>
      <c r="Q162"/>
    </row>
    <row r="163" spans="1:17" s="1" customFormat="1" x14ac:dyDescent="0.25">
      <c r="A163" s="2">
        <v>11</v>
      </c>
      <c r="B163" s="3" t="s">
        <v>323</v>
      </c>
      <c r="C163" s="25"/>
      <c r="D163" s="10">
        <v>45766</v>
      </c>
      <c r="E163" s="2" t="s">
        <v>211</v>
      </c>
      <c r="F163" s="25">
        <v>14925</v>
      </c>
      <c r="J163" s="6"/>
      <c r="K163" s="6"/>
      <c r="L163"/>
      <c r="P163"/>
      <c r="Q163"/>
    </row>
    <row r="164" spans="1:17" s="1" customFormat="1" x14ac:dyDescent="0.25">
      <c r="A164" s="2">
        <v>12</v>
      </c>
      <c r="B164" s="3"/>
      <c r="C164" s="25"/>
      <c r="D164" s="10"/>
      <c r="E164" s="2"/>
      <c r="F164" s="25"/>
      <c r="J164" s="6"/>
      <c r="K164" s="6"/>
      <c r="L164"/>
      <c r="P164"/>
      <c r="Q164"/>
    </row>
    <row r="165" spans="1:17" x14ac:dyDescent="0.25">
      <c r="A165" s="2">
        <v>13</v>
      </c>
      <c r="B165" s="3"/>
      <c r="C165" s="25"/>
      <c r="D165" s="10"/>
      <c r="E165" s="2"/>
      <c r="F165" s="25"/>
      <c r="J165" s="6"/>
      <c r="K165" s="6"/>
      <c r="L165"/>
      <c r="M165" s="1"/>
      <c r="N165" s="1"/>
      <c r="P165"/>
      <c r="Q165"/>
    </row>
    <row r="166" spans="1:17" x14ac:dyDescent="0.25">
      <c r="B166" s="7" t="s">
        <v>163</v>
      </c>
      <c r="C166" s="26">
        <f>SUM(C153:C165)</f>
        <v>226200</v>
      </c>
      <c r="D166" s="19"/>
      <c r="F166" s="26">
        <f>SUM(F153:F165)</f>
        <v>36325</v>
      </c>
      <c r="J166" s="6"/>
      <c r="K166" s="6"/>
      <c r="L166"/>
      <c r="M166" s="1"/>
      <c r="N166" s="1"/>
      <c r="P166"/>
      <c r="Q166"/>
    </row>
    <row r="167" spans="1:17" x14ac:dyDescent="0.25">
      <c r="D167" s="19"/>
      <c r="F167" s="1"/>
      <c r="J167" s="6"/>
      <c r="K167" s="6"/>
      <c r="L167"/>
      <c r="M167" s="1"/>
      <c r="N167" s="1"/>
      <c r="P167"/>
      <c r="Q167"/>
    </row>
    <row r="169" spans="1:17" x14ac:dyDescent="0.25">
      <c r="B169" t="s">
        <v>184</v>
      </c>
    </row>
    <row r="170" spans="1:17" x14ac:dyDescent="0.25">
      <c r="B170" t="s">
        <v>185</v>
      </c>
    </row>
    <row r="171" spans="1:17" x14ac:dyDescent="0.25">
      <c r="B171" s="46" t="s">
        <v>186</v>
      </c>
      <c r="C171" s="61" t="s">
        <v>244</v>
      </c>
      <c r="D171" s="61"/>
      <c r="E171" s="61"/>
      <c r="F171" s="61"/>
      <c r="G171" s="61"/>
      <c r="H171" s="61"/>
      <c r="I171" s="61"/>
      <c r="J171" s="61"/>
      <c r="K171" s="61"/>
      <c r="L171" s="61"/>
    </row>
    <row r="172" spans="1:17" x14ac:dyDescent="0.25">
      <c r="B172" t="s">
        <v>187</v>
      </c>
    </row>
    <row r="173" spans="1:17" x14ac:dyDescent="0.25">
      <c r="B173" t="s">
        <v>188</v>
      </c>
    </row>
  </sheetData>
  <autoFilter ref="A4:V142" xr:uid="{69C0CB00-D41B-4BC3-82C5-38F3054B1746}"/>
  <mergeCells count="13">
    <mergeCell ref="A1:L1"/>
    <mergeCell ref="A140:B140"/>
    <mergeCell ref="A2:A3"/>
    <mergeCell ref="B2:B3"/>
    <mergeCell ref="C2:C3"/>
    <mergeCell ref="D2:D3"/>
    <mergeCell ref="E2:E3"/>
    <mergeCell ref="L2:M2"/>
    <mergeCell ref="C171:L171"/>
    <mergeCell ref="Q2:S2"/>
    <mergeCell ref="A144:F144"/>
    <mergeCell ref="A151:F151"/>
    <mergeCell ref="F2:F3"/>
  </mergeCells>
  <conditionalFormatting sqref="O5:O139">
    <cfRule type="cellIs" dxfId="1" priority="1" operator="lessThan">
      <formula>15</formula>
    </cfRule>
    <cfRule type="cellIs" dxfId="0" priority="2" operator="greaterThan">
      <formula>14</formula>
    </cfRule>
  </conditionalFormatting>
  <pageMargins left="0.23622047244094491" right="0.23622047244094491" top="0.35433070866141736" bottom="0.35433070866141736" header="0.31496062992125984" footer="0.31496062992125984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5D31-CE6A-42AF-A1B9-92F57D30A80A}">
  <dimension ref="A4:P35"/>
  <sheetViews>
    <sheetView workbookViewId="0">
      <selection activeCell="D10" sqref="D10"/>
    </sheetView>
  </sheetViews>
  <sheetFormatPr defaultRowHeight="15" x14ac:dyDescent="0.25"/>
  <cols>
    <col min="2" max="2" width="42.28515625" bestFit="1" customWidth="1"/>
  </cols>
  <sheetData>
    <row r="4" spans="1:16" ht="45" x14ac:dyDescent="0.25">
      <c r="A4" s="62" t="s">
        <v>2</v>
      </c>
      <c r="B4" s="62" t="s">
        <v>0</v>
      </c>
      <c r="C4" s="62" t="s">
        <v>70</v>
      </c>
      <c r="D4" s="16" t="s">
        <v>1</v>
      </c>
      <c r="E4" s="5" t="s">
        <v>74</v>
      </c>
      <c r="F4" s="5" t="s">
        <v>15</v>
      </c>
      <c r="G4" s="5" t="s">
        <v>6</v>
      </c>
      <c r="H4" s="5" t="s">
        <v>7</v>
      </c>
      <c r="I4" s="5" t="s">
        <v>141</v>
      </c>
      <c r="J4" s="5" t="s">
        <v>100</v>
      </c>
      <c r="L4" s="5" t="s">
        <v>135</v>
      </c>
    </row>
    <row r="5" spans="1:16" x14ac:dyDescent="0.25">
      <c r="A5" s="62"/>
      <c r="B5" s="62"/>
      <c r="C5" s="62"/>
      <c r="D5" s="16">
        <v>1900</v>
      </c>
      <c r="E5" s="5">
        <v>1500</v>
      </c>
      <c r="F5" s="5" t="s">
        <v>101</v>
      </c>
      <c r="G5" s="5">
        <v>3500</v>
      </c>
      <c r="H5" s="5">
        <v>3000</v>
      </c>
      <c r="I5" s="5">
        <v>1000</v>
      </c>
      <c r="J5" s="5">
        <v>350</v>
      </c>
      <c r="L5" s="10">
        <v>45801</v>
      </c>
      <c r="N5" s="76" t="s">
        <v>164</v>
      </c>
      <c r="O5" s="76"/>
      <c r="P5" s="29" t="s">
        <v>165</v>
      </c>
    </row>
    <row r="6" spans="1:16" x14ac:dyDescent="0.25">
      <c r="A6" s="2">
        <v>1</v>
      </c>
      <c r="B6" s="3" t="s">
        <v>65</v>
      </c>
      <c r="C6" s="2" t="s">
        <v>66</v>
      </c>
      <c r="D6" s="17"/>
      <c r="E6" s="2"/>
      <c r="F6" s="2"/>
      <c r="G6" s="2"/>
      <c r="H6" s="2"/>
      <c r="I6" s="2"/>
      <c r="J6" s="2"/>
      <c r="L6" s="2"/>
    </row>
    <row r="7" spans="1:16" x14ac:dyDescent="0.25">
      <c r="A7" s="2">
        <v>2</v>
      </c>
      <c r="B7" s="11" t="s">
        <v>69</v>
      </c>
      <c r="C7" s="2"/>
      <c r="D7" s="17"/>
      <c r="E7" s="2"/>
      <c r="F7" s="2"/>
      <c r="G7" s="2"/>
      <c r="H7" s="2"/>
      <c r="I7" s="2"/>
      <c r="J7" s="2"/>
      <c r="L7" s="2"/>
    </row>
    <row r="8" spans="1:16" x14ac:dyDescent="0.25">
      <c r="A8" s="2">
        <v>3</v>
      </c>
      <c r="B8" s="3" t="s">
        <v>67</v>
      </c>
      <c r="C8" s="10">
        <v>31858</v>
      </c>
      <c r="D8" s="17"/>
      <c r="E8" s="2"/>
      <c r="F8" s="2"/>
      <c r="G8" s="2"/>
      <c r="H8" s="2"/>
      <c r="I8" s="2"/>
      <c r="J8" s="2"/>
      <c r="L8" s="2"/>
    </row>
    <row r="9" spans="1:16" x14ac:dyDescent="0.25">
      <c r="A9" s="2">
        <v>4</v>
      </c>
      <c r="B9" s="12" t="s">
        <v>68</v>
      </c>
      <c r="C9" s="2"/>
      <c r="D9" s="17"/>
      <c r="E9" s="2"/>
      <c r="F9" s="2"/>
      <c r="G9" s="2"/>
      <c r="H9" s="2"/>
      <c r="I9" s="2"/>
      <c r="J9" s="2"/>
      <c r="L9" s="2"/>
    </row>
    <row r="10" spans="1:16" x14ac:dyDescent="0.25">
      <c r="A10" s="2">
        <v>5</v>
      </c>
      <c r="B10" s="3" t="s">
        <v>25</v>
      </c>
      <c r="C10" s="10">
        <v>29337</v>
      </c>
      <c r="D10" s="17"/>
      <c r="E10" s="2"/>
      <c r="F10" s="2"/>
      <c r="G10" s="2"/>
      <c r="H10" s="2"/>
      <c r="I10" s="2"/>
      <c r="J10" s="2"/>
      <c r="L10" s="2"/>
    </row>
    <row r="11" spans="1:16" x14ac:dyDescent="0.25">
      <c r="A11" s="2">
        <v>6</v>
      </c>
      <c r="B11" s="31" t="s">
        <v>77</v>
      </c>
      <c r="C11" s="10">
        <v>30382</v>
      </c>
      <c r="D11" s="17"/>
      <c r="E11" s="2"/>
      <c r="F11" s="2"/>
      <c r="G11" s="2"/>
      <c r="H11" s="2"/>
      <c r="I11" s="2"/>
      <c r="J11" s="2"/>
      <c r="L11" s="2"/>
    </row>
    <row r="12" spans="1:16" x14ac:dyDescent="0.25">
      <c r="A12" s="2">
        <v>7</v>
      </c>
      <c r="B12" s="31" t="s">
        <v>78</v>
      </c>
      <c r="C12" s="10">
        <v>31803</v>
      </c>
      <c r="D12" s="17"/>
      <c r="E12" s="2"/>
      <c r="F12" s="2"/>
      <c r="G12" s="1"/>
      <c r="H12" s="2"/>
      <c r="I12" s="2"/>
      <c r="J12" s="2"/>
      <c r="L12" s="2"/>
    </row>
    <row r="13" spans="1:16" x14ac:dyDescent="0.25">
      <c r="A13" s="2">
        <v>8</v>
      </c>
      <c r="B13" s="32" t="s">
        <v>51</v>
      </c>
      <c r="C13" s="2"/>
      <c r="D13" s="17"/>
      <c r="E13" s="2"/>
      <c r="F13" s="2"/>
      <c r="G13" s="2"/>
      <c r="H13" s="2"/>
      <c r="I13" s="2"/>
      <c r="J13" s="2"/>
      <c r="L13" s="2"/>
    </row>
    <row r="14" spans="1:16" x14ac:dyDescent="0.25">
      <c r="A14" s="2">
        <v>9</v>
      </c>
      <c r="B14" s="3" t="s">
        <v>22</v>
      </c>
      <c r="C14" s="10">
        <v>35767</v>
      </c>
      <c r="D14" s="17"/>
      <c r="E14" s="2"/>
      <c r="F14" s="2"/>
      <c r="G14" s="2"/>
      <c r="H14" s="2"/>
      <c r="I14" s="2"/>
      <c r="J14" s="2"/>
      <c r="L14" s="2"/>
    </row>
    <row r="15" spans="1:16" x14ac:dyDescent="0.25">
      <c r="A15" s="2">
        <v>10</v>
      </c>
      <c r="B15" s="3" t="s">
        <v>73</v>
      </c>
      <c r="C15" s="10">
        <v>28964</v>
      </c>
      <c r="D15" s="17"/>
      <c r="E15" s="2"/>
      <c r="F15" s="2"/>
      <c r="G15" s="2"/>
      <c r="H15" s="2"/>
      <c r="I15" s="2"/>
      <c r="J15" s="2"/>
      <c r="L15" s="2"/>
    </row>
    <row r="16" spans="1:16" x14ac:dyDescent="0.25">
      <c r="A16" s="2">
        <v>11</v>
      </c>
      <c r="B16" s="3" t="s">
        <v>43</v>
      </c>
      <c r="C16" s="10">
        <v>31637</v>
      </c>
      <c r="D16" s="17"/>
      <c r="E16" s="2"/>
      <c r="F16" s="2"/>
      <c r="G16" s="2"/>
      <c r="H16" s="2"/>
      <c r="I16" s="2"/>
      <c r="J16" s="2"/>
      <c r="L16" s="2"/>
    </row>
    <row r="17" spans="1:12" x14ac:dyDescent="0.25">
      <c r="A17" s="2">
        <v>12</v>
      </c>
      <c r="B17" s="3" t="s">
        <v>81</v>
      </c>
      <c r="C17" s="10">
        <v>30803</v>
      </c>
      <c r="D17" s="17"/>
      <c r="E17" s="2"/>
      <c r="F17" s="2"/>
      <c r="G17" s="2"/>
      <c r="H17" s="2"/>
      <c r="I17" s="2"/>
      <c r="J17" s="2"/>
      <c r="L17" s="2"/>
    </row>
    <row r="18" spans="1:12" x14ac:dyDescent="0.25">
      <c r="A18" s="2">
        <v>13</v>
      </c>
      <c r="B18" s="3" t="s">
        <v>82</v>
      </c>
      <c r="C18" s="10">
        <v>34600</v>
      </c>
      <c r="D18" s="17"/>
      <c r="E18" s="2"/>
      <c r="F18" s="2"/>
      <c r="G18" s="2"/>
      <c r="H18" s="2"/>
      <c r="I18" s="2"/>
      <c r="J18" s="2"/>
      <c r="L18" s="2"/>
    </row>
    <row r="19" spans="1:12" x14ac:dyDescent="0.25">
      <c r="A19" s="2">
        <v>14</v>
      </c>
      <c r="B19" s="3" t="s">
        <v>57</v>
      </c>
      <c r="C19" s="10">
        <v>31408</v>
      </c>
      <c r="D19" s="17"/>
      <c r="E19" s="2"/>
      <c r="F19" s="2"/>
      <c r="G19" s="2"/>
      <c r="H19" s="2"/>
      <c r="I19" s="2"/>
      <c r="J19" s="2"/>
      <c r="L19" s="2"/>
    </row>
    <row r="20" spans="1:12" x14ac:dyDescent="0.25">
      <c r="A20" s="2">
        <v>15</v>
      </c>
      <c r="B20" s="3" t="s">
        <v>33</v>
      </c>
      <c r="C20" s="10">
        <v>33499</v>
      </c>
      <c r="D20" s="17"/>
      <c r="E20" s="2"/>
      <c r="F20" s="2"/>
      <c r="G20" s="2"/>
      <c r="H20" s="2"/>
      <c r="I20" s="2"/>
      <c r="J20" s="2"/>
      <c r="L20" s="2"/>
    </row>
    <row r="21" spans="1:12" x14ac:dyDescent="0.25">
      <c r="A21" s="2">
        <v>16</v>
      </c>
      <c r="B21" s="3" t="s">
        <v>72</v>
      </c>
      <c r="C21" s="10">
        <v>34181</v>
      </c>
      <c r="D21" s="17"/>
      <c r="E21" s="1"/>
      <c r="F21" s="2"/>
      <c r="G21" s="2"/>
      <c r="H21" s="2"/>
      <c r="I21" s="2"/>
      <c r="J21" s="2"/>
      <c r="L21" s="2"/>
    </row>
    <row r="22" spans="1:12" x14ac:dyDescent="0.25">
      <c r="A22" s="2">
        <v>17</v>
      </c>
      <c r="B22" s="3" t="s">
        <v>32</v>
      </c>
      <c r="C22" s="10">
        <v>33917</v>
      </c>
      <c r="D22" s="17"/>
      <c r="E22" s="11"/>
      <c r="F22" s="11"/>
      <c r="G22" s="2"/>
      <c r="H22" s="2"/>
      <c r="I22" s="2"/>
      <c r="J22" s="2"/>
      <c r="L22" s="2"/>
    </row>
    <row r="23" spans="1:12" x14ac:dyDescent="0.25">
      <c r="A23" s="2">
        <v>18</v>
      </c>
      <c r="B23" s="3" t="s">
        <v>17</v>
      </c>
      <c r="C23" s="10">
        <v>27380</v>
      </c>
      <c r="D23" s="17"/>
      <c r="E23" s="2"/>
      <c r="F23" s="2"/>
      <c r="G23" s="2"/>
      <c r="H23" s="2"/>
      <c r="I23" s="2"/>
      <c r="J23" s="2"/>
      <c r="L23" s="2"/>
    </row>
    <row r="24" spans="1:12" x14ac:dyDescent="0.25">
      <c r="A24" s="2">
        <v>19</v>
      </c>
      <c r="B24" s="3" t="s">
        <v>60</v>
      </c>
      <c r="C24" s="10">
        <v>32020</v>
      </c>
      <c r="D24" s="17"/>
      <c r="E24" s="3"/>
      <c r="F24" s="2"/>
      <c r="G24" s="2"/>
      <c r="H24" s="2"/>
      <c r="I24" s="2"/>
      <c r="J24" s="2"/>
      <c r="L24" s="2"/>
    </row>
    <row r="25" spans="1:12" x14ac:dyDescent="0.25">
      <c r="A25" s="2">
        <v>20</v>
      </c>
      <c r="B25" s="3" t="s">
        <v>76</v>
      </c>
      <c r="C25" s="10">
        <v>32980</v>
      </c>
      <c r="D25" s="17"/>
      <c r="E25" s="2"/>
      <c r="F25" s="2"/>
      <c r="G25" s="2"/>
      <c r="H25" s="2"/>
      <c r="I25" s="2"/>
      <c r="J25" s="2"/>
      <c r="L25" s="2"/>
    </row>
    <row r="26" spans="1:12" x14ac:dyDescent="0.25">
      <c r="A26" s="2">
        <v>21</v>
      </c>
      <c r="B26" s="3" t="s">
        <v>44</v>
      </c>
      <c r="C26" s="10">
        <v>36162</v>
      </c>
      <c r="D26" s="17"/>
      <c r="E26" s="2"/>
      <c r="F26" s="2"/>
      <c r="G26" s="2"/>
      <c r="H26" s="2"/>
      <c r="I26" s="2"/>
      <c r="J26" s="2"/>
      <c r="L26" s="2"/>
    </row>
    <row r="27" spans="1:12" x14ac:dyDescent="0.25">
      <c r="A27" s="2">
        <v>22</v>
      </c>
      <c r="B27" s="3" t="s">
        <v>45</v>
      </c>
      <c r="C27" s="10">
        <v>36116</v>
      </c>
      <c r="D27" s="17"/>
      <c r="E27" s="2"/>
      <c r="F27" s="2"/>
      <c r="G27" s="2"/>
      <c r="H27" s="2"/>
      <c r="I27" s="2"/>
      <c r="J27" s="2"/>
      <c r="L27" s="2"/>
    </row>
    <row r="28" spans="1:12" x14ac:dyDescent="0.25">
      <c r="A28" s="2">
        <v>23</v>
      </c>
      <c r="B28" s="3" t="s">
        <v>30</v>
      </c>
      <c r="C28" s="10">
        <v>33342</v>
      </c>
      <c r="D28" s="17"/>
      <c r="E28" s="2"/>
      <c r="F28" s="2"/>
      <c r="G28" s="2"/>
      <c r="H28" s="2"/>
      <c r="I28" s="2"/>
      <c r="J28" s="2"/>
      <c r="L28" s="2"/>
    </row>
    <row r="29" spans="1:12" x14ac:dyDescent="0.25">
      <c r="A29" s="2">
        <v>24</v>
      </c>
      <c r="B29" s="3" t="s">
        <v>31</v>
      </c>
      <c r="C29" s="10">
        <v>33171</v>
      </c>
      <c r="D29" s="17"/>
      <c r="E29" s="11"/>
      <c r="F29" s="2"/>
      <c r="G29" s="2"/>
      <c r="H29" s="2"/>
      <c r="I29" s="2"/>
      <c r="J29" s="2"/>
      <c r="L29" s="2"/>
    </row>
    <row r="30" spans="1:12" x14ac:dyDescent="0.25">
      <c r="A30" s="2">
        <v>25</v>
      </c>
      <c r="B30" s="3" t="s">
        <v>71</v>
      </c>
      <c r="C30" s="10">
        <v>30461</v>
      </c>
      <c r="D30" s="17"/>
      <c r="E30" s="2"/>
      <c r="F30" s="2"/>
      <c r="G30" s="2"/>
      <c r="H30" s="2"/>
      <c r="I30" s="2"/>
      <c r="J30" s="2"/>
      <c r="L30" s="2"/>
    </row>
    <row r="31" spans="1:12" x14ac:dyDescent="0.25">
      <c r="A31" s="2">
        <v>26</v>
      </c>
      <c r="B31" s="3" t="s">
        <v>20</v>
      </c>
      <c r="C31" s="10">
        <v>27416</v>
      </c>
      <c r="D31" s="17"/>
      <c r="E31" s="2"/>
      <c r="F31" s="2"/>
      <c r="G31" s="2"/>
      <c r="H31" s="2"/>
      <c r="I31" s="2"/>
      <c r="J31" s="2"/>
      <c r="L31" s="2"/>
    </row>
    <row r="32" spans="1:12" x14ac:dyDescent="0.25">
      <c r="A32" s="2">
        <v>27</v>
      </c>
      <c r="B32" s="11" t="s">
        <v>80</v>
      </c>
      <c r="C32" s="2"/>
      <c r="D32" s="17"/>
      <c r="E32" s="2"/>
      <c r="F32" s="2"/>
      <c r="G32" s="2"/>
      <c r="H32" s="2"/>
      <c r="I32" s="2"/>
      <c r="J32" s="2"/>
      <c r="L32" s="2"/>
    </row>
    <row r="33" spans="1:12" x14ac:dyDescent="0.25">
      <c r="A33" s="2">
        <v>28</v>
      </c>
      <c r="B33" s="11" t="s">
        <v>56</v>
      </c>
      <c r="C33" s="2"/>
      <c r="D33" s="17"/>
      <c r="E33" s="2"/>
      <c r="F33" s="2"/>
      <c r="G33" s="2"/>
      <c r="H33" s="2"/>
      <c r="I33" s="2"/>
      <c r="J33" s="2"/>
      <c r="L33" s="2"/>
    </row>
    <row r="34" spans="1:12" x14ac:dyDescent="0.25">
      <c r="A34" s="2">
        <v>29</v>
      </c>
      <c r="B34" s="30" t="s">
        <v>83</v>
      </c>
      <c r="C34" s="2"/>
      <c r="D34" s="17"/>
      <c r="E34" s="2"/>
      <c r="F34" s="2"/>
      <c r="G34" s="2"/>
      <c r="H34" s="2"/>
      <c r="I34" s="2"/>
      <c r="J34" s="2"/>
      <c r="L34" s="2"/>
    </row>
    <row r="35" spans="1:12" x14ac:dyDescent="0.25">
      <c r="A35" s="2">
        <v>30</v>
      </c>
      <c r="B35" s="30" t="s">
        <v>84</v>
      </c>
      <c r="C35" s="2"/>
      <c r="D35" s="17"/>
      <c r="E35" s="2"/>
      <c r="F35" s="2"/>
      <c r="G35" s="2"/>
      <c r="H35" s="2"/>
      <c r="I35" s="2"/>
      <c r="J35" s="2"/>
      <c r="L35" s="2"/>
    </row>
  </sheetData>
  <mergeCells count="4">
    <mergeCell ref="A4:A5"/>
    <mergeCell ref="B4:B5"/>
    <mergeCell ref="C4:C5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ПМ-25</vt:lpstr>
      <vt:lpstr>Лист1</vt:lpstr>
      <vt:lpstr>'ПМ-25'!Область_печати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Аристов Александр</dc:creator>
  <cp:lastModifiedBy>Аристов Александр</cp:lastModifiedBy>
  <cp:lastPrinted>2025-01-27T17:44:18Z</cp:lastPrinted>
  <dcterms:created xsi:type="dcterms:W3CDTF">2021-05-13T12:05:19Z</dcterms:created>
  <dcterms:modified xsi:type="dcterms:W3CDTF">2025-04-30T09:03:10Z</dcterms:modified>
</cp:coreProperties>
</file>